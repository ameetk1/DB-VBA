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embeddings/oleObject5.bin" ContentType="application/vnd.openxmlformats-officedocument.oleObject"/>
  <Override PartName="/xl/drawings/drawing5.xml" ContentType="application/vnd.openxmlformats-officedocument.drawing+xml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/>
  <bookViews>
    <workbookView xWindow="0" yWindow="0" windowWidth="15345" windowHeight="5925" firstSheet="2" activeTab="2"/>
  </bookViews>
  <sheets>
    <sheet name="Flow chart" sheetId="1" r:id="rId1"/>
    <sheet name="FRONT SHEET" sheetId="2" r:id="rId2"/>
    <sheet name="CE_MASTER_DATA" sheetId="5" r:id="rId3"/>
    <sheet name="variable list" sheetId="7" r:id="rId4"/>
    <sheet name="CE_TAMPLATE" sheetId="4" r:id="rId5"/>
    <sheet name="REF" sheetId="3" r:id="rId6"/>
    <sheet name="P-XX-XXX" sheetId="6" r:id="rId7"/>
  </sheets>
  <externalReferences>
    <externalReference r:id="rId8"/>
  </externalReferences>
  <definedNames>
    <definedName name="CAT_D">[1]CONTROL!$H$2:$H$17</definedName>
    <definedName name="CSTV">[1]CONTROL!$L$2</definedName>
    <definedName name="CWMARGIN">[1]USERCONTROL!$B$9</definedName>
    <definedName name="IDMARGIN">[1]USERCONTROL!$B$4</definedName>
    <definedName name="IMMARGIN">[1]USERCONTROL!$B$5</definedName>
    <definedName name="INSUL_D">[1]CONTROL!$T$2:$T$54</definedName>
    <definedName name="INSULMARGIN">[1]USERCONTROL!$B$6</definedName>
    <definedName name="MOCTHK_D">[1]CONTROL!$D$2:$D$101</definedName>
    <definedName name="paint_d">[1]CONTROL!$AM$4:$AM$46</definedName>
    <definedName name="PHASE">REF!$AI$2:$AI$4</definedName>
    <definedName name="POST_D">[1]CONTROL!$AD$2:$AD$4</definedName>
    <definedName name="PRE_D">[1]CONTROL!$AA$2:$AA$4</definedName>
    <definedName name="_xlnm.Print_Area" localSheetId="4">CE_TAMPLATE!$BH$7:$BO$41</definedName>
    <definedName name="_xlnm.Print_Area" localSheetId="1">'FRONT SHEET'!$A$1:$J$20</definedName>
    <definedName name="_xlnm.Print_Area" localSheetId="6">'P-XX-XXX'!#REF!</definedName>
    <definedName name="rt_extra_peri">[1]CONTROL!$BT$1</definedName>
    <definedName name="RTPC">[1]CONTROL!$R$2:$R$12</definedName>
    <definedName name="SHEATHMARGIN">[1]USERCONTROL!$B$7</definedName>
    <definedName name="sr_d">[1]CONTROL!$AG$2:$AG$5</definedName>
    <definedName name="TAX_D">[1]CONTROL!$I$2:$I$4</definedName>
    <definedName name="UNITS">REF!$AF$2:$AF$90</definedName>
    <definedName name="VATV">[1]CONTROL!$P$2</definedName>
    <definedName name="Y_N">REF!$AK$2:$AK$3</definedName>
    <definedName name="YND">[1]CONTROL!$Z$2:$Z$5</definedName>
  </definedNames>
  <calcPr calcId="144525"/>
</workbook>
</file>

<file path=xl/calcChain.xml><?xml version="1.0" encoding="utf-8"?>
<calcChain xmlns="http://schemas.openxmlformats.org/spreadsheetml/2006/main">
  <c r="BU22" i="6" l="1"/>
  <c r="BU18" i="6"/>
  <c r="BL22" i="6"/>
  <c r="BL18" i="6"/>
  <c r="BC22" i="6"/>
  <c r="BC18" i="6"/>
  <c r="CB29" i="4" l="1"/>
  <c r="BH29" i="4"/>
  <c r="BR29" i="4"/>
  <c r="CB25" i="4"/>
  <c r="BR25" i="4"/>
  <c r="AS4" i="6"/>
  <c r="AS1" i="6" s="1"/>
  <c r="AR4" i="6"/>
  <c r="AR1" i="6" s="1"/>
  <c r="AP4" i="6"/>
  <c r="AO4" i="6"/>
  <c r="AN4" i="6"/>
  <c r="AI4" i="6"/>
  <c r="BA4" i="6" s="1"/>
  <c r="BA1" i="6" s="1"/>
  <c r="AH4" i="6"/>
  <c r="AZ4" i="6" s="1"/>
  <c r="AZ1" i="6" s="1"/>
  <c r="AG4" i="6"/>
  <c r="AY4" i="6" s="1"/>
  <c r="AY1" i="6" s="1"/>
  <c r="AF4" i="6"/>
  <c r="AX4" i="6" s="1"/>
  <c r="AX1" i="6" s="1"/>
  <c r="AE4" i="6"/>
  <c r="AW4" i="6" s="1"/>
  <c r="AW1" i="6" s="1"/>
  <c r="AD4" i="6"/>
  <c r="AV4" i="6" s="1"/>
  <c r="AV1" i="6" s="1"/>
  <c r="AC4" i="6"/>
  <c r="AU4" i="6" s="1"/>
  <c r="AU1" i="6" s="1"/>
  <c r="AB4" i="6"/>
  <c r="AT4" i="6" s="1"/>
  <c r="AT1" i="6" s="1"/>
  <c r="Y4" i="6"/>
  <c r="AA4" i="6" s="1"/>
  <c r="X4" i="6"/>
  <c r="Z4" i="6" s="1"/>
  <c r="W4" i="6"/>
  <c r="V4" i="6"/>
  <c r="AP1" i="6"/>
  <c r="AO1" i="6"/>
  <c r="AN1" i="6"/>
  <c r="Y1" i="6" l="1"/>
  <c r="X1" i="6"/>
  <c r="AM4" i="6"/>
  <c r="AM1" i="6" s="1"/>
  <c r="AR27" i="3"/>
  <c r="AR23" i="3"/>
  <c r="BH25" i="4"/>
  <c r="L18" i="3"/>
  <c r="L19" i="3" s="1"/>
  <c r="O12" i="3"/>
  <c r="O2" i="3" s="1"/>
  <c r="K12" i="3"/>
  <c r="R4" i="3"/>
  <c r="R3" i="3"/>
  <c r="W2" i="3"/>
  <c r="R2" i="3"/>
  <c r="AS4" i="4"/>
  <c r="AR4" i="4"/>
  <c r="AR1" i="4" s="1"/>
  <c r="AP4" i="4"/>
  <c r="AO4" i="4"/>
  <c r="AO1" i="4" s="1"/>
  <c r="AN4" i="4"/>
  <c r="AI4" i="4"/>
  <c r="BA4" i="4" s="1"/>
  <c r="BA1" i="4" s="1"/>
  <c r="AH4" i="4"/>
  <c r="AZ4" i="4" s="1"/>
  <c r="AZ1" i="4" s="1"/>
  <c r="AG4" i="4"/>
  <c r="AY4" i="4" s="1"/>
  <c r="AY1" i="4" s="1"/>
  <c r="AF4" i="4"/>
  <c r="AX4" i="4" s="1"/>
  <c r="AX1" i="4" s="1"/>
  <c r="AE4" i="4"/>
  <c r="AW4" i="4" s="1"/>
  <c r="AW1" i="4" s="1"/>
  <c r="AD4" i="4"/>
  <c r="AV4" i="4" s="1"/>
  <c r="AV1" i="4" s="1"/>
  <c r="AC4" i="4"/>
  <c r="AU4" i="4" s="1"/>
  <c r="AU1" i="4" s="1"/>
  <c r="AB4" i="4"/>
  <c r="AT4" i="4" s="1"/>
  <c r="AT1" i="4" s="1"/>
  <c r="Y4" i="4"/>
  <c r="AA4" i="4" s="1"/>
  <c r="X4" i="4"/>
  <c r="Z4" i="4" s="1"/>
  <c r="W4" i="4"/>
  <c r="V4" i="4"/>
  <c r="AS1" i="4"/>
  <c r="AP1" i="4"/>
  <c r="AN1" i="4"/>
  <c r="AQ4" i="6" l="1"/>
  <c r="AQ1" i="6" s="1"/>
  <c r="X1" i="4"/>
  <c r="AM4" i="4"/>
  <c r="AQ4" i="4" s="1"/>
  <c r="AQ1" i="4" s="1"/>
  <c r="L20" i="3"/>
  <c r="L28" i="3" s="1"/>
  <c r="Y1" i="4"/>
  <c r="AM1" i="4" l="1"/>
  <c r="L21" i="3"/>
  <c r="L22" i="3" s="1"/>
  <c r="L24" i="3" s="1"/>
  <c r="L25" i="3" s="1"/>
  <c r="L26" i="3" l="1"/>
  <c r="L30" i="3" s="1"/>
  <c r="L31" i="3" s="1"/>
  <c r="L32" i="3" s="1"/>
  <c r="K2" i="3" s="1"/>
</calcChain>
</file>

<file path=xl/comments1.xml><?xml version="1.0" encoding="utf-8"?>
<comments xmlns="http://schemas.openxmlformats.org/spreadsheetml/2006/main">
  <authors>
    <author>Author</author>
  </authors>
  <commentList>
    <comment ref="L3" authorId="0">
      <text>
        <r>
          <rPr>
            <b/>
            <sz val="9"/>
            <color indexed="81"/>
            <rFont val="Tahoma"/>
            <family val="2"/>
          </rPr>
          <t>Ananyo:
If Insulation is chosen, by default the HR painting is considered.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L3" authorId="0">
      <text>
        <r>
          <rPr>
            <b/>
            <sz val="9"/>
            <color indexed="81"/>
            <rFont val="Tahoma"/>
            <family val="2"/>
          </rPr>
          <t>Ananyo:
If Insulation is chosen, by default the HR painting is considered.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<sst xmlns="http://schemas.openxmlformats.org/spreadsheetml/2006/main" count="597" uniqueCount="291">
  <si>
    <t>N</t>
  </si>
  <si>
    <t>Y</t>
  </si>
  <si>
    <t>FOR OVERALL REFINERY</t>
  </si>
  <si>
    <t>BBU</t>
  </si>
  <si>
    <t>RSUM</t>
  </si>
  <si>
    <t>GOHDS</t>
  </si>
  <si>
    <t>NON PLANT BUILDING</t>
  </si>
  <si>
    <t>BITUMEN DRUM FILLING</t>
  </si>
  <si>
    <t>ADDITIONAL PIPELINES</t>
  </si>
  <si>
    <t>EFFLUENT PIPELINE</t>
  </si>
  <si>
    <t>TOWNSHIP</t>
  </si>
  <si>
    <t>RAW WATER SYSTEM</t>
  </si>
  <si>
    <t>MISCELLANEOUS; SPM FACILITIES</t>
  </si>
  <si>
    <t>LNHT</t>
  </si>
  <si>
    <t>BENSAT PROCESS</t>
  </si>
  <si>
    <t>PENEX PROCESS</t>
  </si>
  <si>
    <t>MIXED XYLENE</t>
  </si>
  <si>
    <t>COMMUNICATION FACILITIES</t>
  </si>
  <si>
    <t>OVAL - PRODUCT LOADING &amp; UNLOADING</t>
  </si>
  <si>
    <t>SULPHUR PASTILLATION UNIT</t>
  </si>
  <si>
    <t>SR LPG TREATMENT UNIT</t>
  </si>
  <si>
    <t>ATF TREATMENT UNIT</t>
  </si>
  <si>
    <t>AMINE TREATMENT UNIT</t>
  </si>
  <si>
    <t>HYDROGEN GENERATION UNIT</t>
  </si>
  <si>
    <t>SOUR WATER STRIPPER UNIT</t>
  </si>
  <si>
    <t>NAPHTHA HYDROTREATER UNIT</t>
  </si>
  <si>
    <t>PETROCHEMICAL FCC UNIT (PFCC)</t>
  </si>
  <si>
    <t>PROPHYLENE RECOVERY UNIT (PRU)</t>
  </si>
  <si>
    <t>DIESEL HYDRO TREATING UNIT (DHDT)</t>
  </si>
  <si>
    <t>DELAYED COOKER UNIT (DCU)</t>
  </si>
  <si>
    <t>POLYPROPELYNE UNIT (PPU)</t>
  </si>
  <si>
    <t>PPU NITOGEN PLANT</t>
  </si>
  <si>
    <t>FCC NAPHTHA SPLITTER UNIT</t>
  </si>
  <si>
    <t>COKER LPG TREATMENT UNIT</t>
  </si>
  <si>
    <t>COKER GAS OIL HYDROTREATER UNIT</t>
  </si>
  <si>
    <t>FCC LPG TREATER</t>
  </si>
  <si>
    <t>SRU BLOCK TRAIN 1</t>
  </si>
  <si>
    <t>FLARE &amp; RELIEF SYSTEM</t>
  </si>
  <si>
    <t>CAPTIVE POWER PLANT</t>
  </si>
  <si>
    <t>WATER SYSTEM</t>
  </si>
  <si>
    <t>NITROGEN &amp; INERT GAS SYSTEM</t>
  </si>
  <si>
    <t>COMPRESSED AIR / INSTRUMENT AIR</t>
  </si>
  <si>
    <t>PROCESS FUEL OIL / FUEL GAS SYSTEM</t>
  </si>
  <si>
    <t>CONDENSATE POLISHING UNIT</t>
  </si>
  <si>
    <t xml:space="preserve">STEAM </t>
  </si>
  <si>
    <t>OIL MOVEMENT AND STORAGE - OMS/ SLOP HANDLIN G</t>
  </si>
  <si>
    <t xml:space="preserve">COKE HANDLING </t>
  </si>
  <si>
    <t>PRODUCT LOADING SYSTEM</t>
  </si>
  <si>
    <t>EFFLUENT TREATMENT UNIT</t>
  </si>
  <si>
    <t>FEED AND INTERMEDIATE STORAGE SYSTEM; FIRE FIGHTING</t>
  </si>
  <si>
    <t>UNIT INTERCONNECT PIPING &amp; SYSTEM INFRASTRUCTURE ETC.</t>
  </si>
  <si>
    <t xml:space="preserve">NON PLANT BUILDING </t>
  </si>
  <si>
    <t>SUBSTATION &amp; SATELLITE RACK ROOM - SRR</t>
  </si>
  <si>
    <t xml:space="preserve">CONTROL ROOM </t>
  </si>
  <si>
    <t>ELECTRICAL &amp; INSTRUMENT EQUIPMENT</t>
  </si>
  <si>
    <t>SEWAGE SYSTEM</t>
  </si>
  <si>
    <t>ROADS &amp; RAILWAYS</t>
  </si>
  <si>
    <t>INFRASTRUCTURE PIPES AND PORT</t>
  </si>
  <si>
    <t>INFRASTRUCTURE EFFLUENT DISPOSAL</t>
  </si>
  <si>
    <t>RAW WATER INTAKE SYSTEM</t>
  </si>
  <si>
    <t>WET AIR OXIDATION - WAO</t>
  </si>
  <si>
    <t>CDU</t>
  </si>
  <si>
    <t>VDU</t>
  </si>
  <si>
    <t>VBU</t>
  </si>
  <si>
    <t>SRU</t>
  </si>
  <si>
    <t>LPG MEROX</t>
  </si>
  <si>
    <t>KERO MEROX</t>
  </si>
  <si>
    <t>NHT</t>
  </si>
  <si>
    <t>ATU</t>
  </si>
  <si>
    <t>CCR</t>
  </si>
  <si>
    <t>PSA</t>
  </si>
  <si>
    <t>SWS</t>
  </si>
  <si>
    <t>OFFSITES</t>
  </si>
  <si>
    <t>WWTP</t>
  </si>
  <si>
    <t>CPP</t>
  </si>
  <si>
    <t xml:space="preserve">HCU </t>
  </si>
  <si>
    <t>HYDROGEN</t>
  </si>
  <si>
    <t>FLARE SYSTEM</t>
  </si>
  <si>
    <t>FIRE FIGHTING</t>
  </si>
  <si>
    <t>SUBSTATION</t>
  </si>
  <si>
    <t>CONTROL ROOM</t>
  </si>
  <si>
    <t>SWITCHYARD</t>
  </si>
  <si>
    <t>NITROGEN SYSTEM</t>
  </si>
  <si>
    <t>AIR SYSTEM</t>
  </si>
  <si>
    <t>FUEL &amp; GAS SYSTEM</t>
  </si>
  <si>
    <t>DISTRIBUTION</t>
  </si>
  <si>
    <t>PORT/PIPE LINES FACILITY</t>
  </si>
  <si>
    <t>YES</t>
  </si>
  <si>
    <t>NO</t>
  </si>
  <si>
    <t>Final Cost Gross+Taxes+</t>
  </si>
  <si>
    <t>Services +taxes</t>
  </si>
  <si>
    <t>ITEM CODE</t>
  </si>
  <si>
    <t>TYPE</t>
  </si>
  <si>
    <t>DESC</t>
  </si>
  <si>
    <t>NPS</t>
  </si>
  <si>
    <t>MOC/CAT</t>
  </si>
  <si>
    <t>QTY</t>
  </si>
  <si>
    <t>JT</t>
  </si>
  <si>
    <t>UNIT RATE</t>
  </si>
  <si>
    <t>YEAR</t>
  </si>
  <si>
    <t>TAX</t>
  </si>
  <si>
    <t>RT</t>
  </si>
  <si>
    <t>INSUL</t>
  </si>
  <si>
    <t>PAINT</t>
  </si>
  <si>
    <t>CW</t>
  </si>
  <si>
    <t>PRHT</t>
  </si>
  <si>
    <t>POHT</t>
  </si>
  <si>
    <t>SR</t>
  </si>
  <si>
    <t>SCAFF</t>
  </si>
  <si>
    <t>Strap</t>
  </si>
  <si>
    <t>TAX+</t>
  </si>
  <si>
    <t>GROSS COST</t>
  </si>
  <si>
    <t>ID</t>
  </si>
  <si>
    <t>IM</t>
  </si>
  <si>
    <t>FAB</t>
  </si>
  <si>
    <t>EREC</t>
  </si>
  <si>
    <t>Pipe</t>
  </si>
  <si>
    <t>Fitting</t>
  </si>
  <si>
    <t>Flange</t>
  </si>
  <si>
    <t>Valve</t>
  </si>
  <si>
    <t>Rest</t>
  </si>
  <si>
    <t>Fab</t>
  </si>
  <si>
    <t>Erec</t>
  </si>
  <si>
    <t>Insul</t>
  </si>
  <si>
    <t>Paint</t>
  </si>
  <si>
    <t>PRHWT</t>
  </si>
  <si>
    <t>Scaff</t>
  </si>
  <si>
    <t>PIPE SMLS A106 GR B SIZE 4 INCH SCH40 BE</t>
  </si>
  <si>
    <t>VAT</t>
  </si>
  <si>
    <t>20PC</t>
  </si>
  <si>
    <t>NIL</t>
  </si>
  <si>
    <t>Nil</t>
  </si>
  <si>
    <t>STRESS RELIEVING OF PIPE 2.5" DIA&amp;ABOVE</t>
  </si>
  <si>
    <t>NPS_D</t>
  </si>
  <si>
    <t>MOCTHK_D</t>
  </si>
  <si>
    <t>CAT_D</t>
  </si>
  <si>
    <t>TAX_D</t>
  </si>
  <si>
    <t>CSTV</t>
  </si>
  <si>
    <t>VATV</t>
  </si>
  <si>
    <t>RTPC</t>
  </si>
  <si>
    <t>INSUL_D</t>
  </si>
  <si>
    <t>YND</t>
  </si>
  <si>
    <t>PRE_D</t>
  </si>
  <si>
    <t>CS PIPE WELDING UPTO 12MM THICK-UPTO 4.5M</t>
  </si>
  <si>
    <t>CST</t>
  </si>
  <si>
    <t>0PC</t>
  </si>
  <si>
    <t>SUPPLY &amp; INSTALLATION OF 22 GUAGE AL SHE</t>
  </si>
  <si>
    <t>M2</t>
  </si>
  <si>
    <t>CS PIPE WELDING  ABOVE 12MM THK-UPTO 4.5M</t>
  </si>
  <si>
    <t>Elbow</t>
  </si>
  <si>
    <t>10PC</t>
  </si>
  <si>
    <t>WOOL INSULATION OF 25 MM THK</t>
  </si>
  <si>
    <t>PREHEATING FOR PIPE THICKNESS UPTO 1"</t>
  </si>
  <si>
    <t>CS PIPE WELDING  ABOVE 18MM THK-UPTO 4.5M</t>
  </si>
  <si>
    <t>Tee</t>
  </si>
  <si>
    <t>Excise Duty</t>
  </si>
  <si>
    <t>WOOL INSULATION OF 40 MM THK</t>
  </si>
  <si>
    <t>HR AL PAINT FOR LINES UPTO 250 DEGC</t>
  </si>
  <si>
    <t>PREHEATING FOR PIPE THICKNESS ABOVE 1"</t>
  </si>
  <si>
    <t>CS IBR PIPE WELDING UPTO 12MM THK-UPTO 4.5M</t>
  </si>
  <si>
    <t>Reducer</t>
  </si>
  <si>
    <t>Entry Tax</t>
  </si>
  <si>
    <t>TPI</t>
  </si>
  <si>
    <t>100PC</t>
  </si>
  <si>
    <t>WOOL INSULATION OF 50 MM THK</t>
  </si>
  <si>
    <t>CS IBR PIPE WELDING  ABOVE 12MM THK-UPTO 4.5M</t>
  </si>
  <si>
    <t>Packing &amp; Forwarding</t>
  </si>
  <si>
    <t>WOOL INSULATION OF 65 MM THK</t>
  </si>
  <si>
    <t>DOUBLE COATING &amp; WRAPPING FOR PIPELINES</t>
  </si>
  <si>
    <t>SS PIPE WELDING UPTO 6MM THK-UPTO 4.5M</t>
  </si>
  <si>
    <t>Blind Flange</t>
  </si>
  <si>
    <t>Freight</t>
  </si>
  <si>
    <t>WOOL INSULATION OF 75 MM THK</t>
  </si>
  <si>
    <t>SS PIPE WELDING ABOVE 6MM THK-UPTO 4.5M</t>
  </si>
  <si>
    <t>Insurance</t>
  </si>
  <si>
    <t>WOOL INSULATION OF 80 MM THK</t>
  </si>
  <si>
    <t>ALLOY STEEL PIPING UPTO 12MM THICK-UPTO 4.5M</t>
  </si>
  <si>
    <t>Other Fitting</t>
  </si>
  <si>
    <t>WOOL INSULATION OF100 MM THK</t>
  </si>
  <si>
    <t>ALLOY STEEL PIPING ABOVE 12MM THICK-UPTO 4.5M</t>
  </si>
  <si>
    <t>Steam Trap</t>
  </si>
  <si>
    <t>WOOL INSULATION OF115 MM THK</t>
  </si>
  <si>
    <t>CS PIPE WELDING UPTO 12MM THICK-ABOVE 4.5M</t>
  </si>
  <si>
    <t>Others</t>
  </si>
  <si>
    <t>WOOL INSULATION OF130 MM THK</t>
  </si>
  <si>
    <t>CS PIPE WELDING  ABOVE 12MM THK-ABOVE 4.5M</t>
  </si>
  <si>
    <t>Sum</t>
  </si>
  <si>
    <t>WOOL INSULATION OF140 MM THK</t>
  </si>
  <si>
    <t>CS PIPE WELDING  ABOVE 18MM THK-ABOVE 4.5M</t>
  </si>
  <si>
    <t>WOOL INSULATION OF150 MM THK</t>
  </si>
  <si>
    <t>CS IBR PIPE WELDING UPTO 12MM THK-ABOVE 4.5M</t>
  </si>
  <si>
    <t>WOOL INSULATION OF195 MM THK</t>
  </si>
  <si>
    <t>CS IBR PIPE WELDING  ABOVE 12MM THK-ABOVE 4.5M</t>
  </si>
  <si>
    <t>Rework based on Form C Excise Benefit</t>
  </si>
  <si>
    <t xml:space="preserve">WOOL INSULATION' OF 200MM THK </t>
  </si>
  <si>
    <t>SS PIPE WELDING UPTO 6MM THK-ABOVE 4.5M</t>
  </si>
  <si>
    <t>WOOL INSULATION OF205 MM THK</t>
  </si>
  <si>
    <t>SS PIPE WELDING ABOVE 6MM THK-ABOVE 4.5M</t>
  </si>
  <si>
    <t>Base price</t>
  </si>
  <si>
    <t>WOOL INSULATION OF210 MM THK</t>
  </si>
  <si>
    <t>ALLOY STEEL PIPING UPTO 12MM THICK-ABOVE 4.5M</t>
  </si>
  <si>
    <t>PUFF INSULATION  25 MM THK</t>
  </si>
  <si>
    <t>ALLOY STEEL PIPING ABOVE 12MM THICK-ABOVE 4.5M</t>
  </si>
  <si>
    <t>P&amp;F</t>
  </si>
  <si>
    <t>PUFF INSULATION  40MM</t>
  </si>
  <si>
    <t>ED</t>
  </si>
  <si>
    <t>PUFF INSULATION  50MM</t>
  </si>
  <si>
    <t>PUFF INSULATION  65MM</t>
  </si>
  <si>
    <t>PUFF INSULATION  75MM</t>
  </si>
  <si>
    <t>PUFF INSULATION  80MM</t>
  </si>
  <si>
    <t>Total</t>
  </si>
  <si>
    <t>PUFF INSULATION  100MM</t>
  </si>
  <si>
    <t>PUFF INSULATION  115MM</t>
  </si>
  <si>
    <t>Entry tax</t>
  </si>
  <si>
    <t>PUFF INSULATION  130MM</t>
  </si>
  <si>
    <t>PUFF INSULATION  140MM</t>
  </si>
  <si>
    <t>Less ModVAT Credit</t>
  </si>
  <si>
    <t>PUFF INSULATION  150MM</t>
  </si>
  <si>
    <t>PUFF INSULATION  195MM</t>
  </si>
  <si>
    <t>Net Cost</t>
  </si>
  <si>
    <t>PUFF INSULATION  205MM</t>
  </si>
  <si>
    <t>PUFF INSULATION  210MM</t>
  </si>
  <si>
    <t>मंगलूर रिफाइनरी एंड पेट्रोकेमिकल्स लिमिटेड</t>
  </si>
  <si>
    <t>MANGALORE REFINERY &amp; PETROCHEMICALS LIMITED</t>
  </si>
  <si>
    <t>(ऑयल एंड नैचुरल गैस कारपोरेशन लिमिटेड की सहायक कंपनी)</t>
  </si>
  <si>
    <t>(A Subsidiary of Oil and Natural Gas Corporation Limited)</t>
  </si>
  <si>
    <t>महोदय</t>
  </si>
  <si>
    <r>
      <t xml:space="preserve">अंत कार्यालय ज्ञापन </t>
    </r>
    <r>
      <rPr>
        <b/>
        <sz val="12"/>
        <color theme="1"/>
        <rFont val="Times New Roman"/>
        <family val="1"/>
      </rPr>
      <t>INTER OFFICE MEMO</t>
    </r>
  </si>
  <si>
    <r>
      <rPr>
        <sz val="16"/>
        <color theme="1"/>
        <rFont val="Kokila"/>
        <family val="2"/>
      </rPr>
      <t>महा प्रबंधक (नि। एवं अभि।)</t>
    </r>
    <r>
      <rPr>
        <sz val="11"/>
        <color theme="1"/>
        <rFont val="Times New Roman"/>
        <family val="1"/>
      </rPr>
      <t xml:space="preserve">
GM (TS : Insp. &amp; Engg.)
</t>
    </r>
  </si>
  <si>
    <r>
      <rPr>
        <sz val="14"/>
        <color theme="1"/>
        <rFont val="Kokila"/>
        <family val="2"/>
      </rPr>
      <t>प्रेषक</t>
    </r>
    <r>
      <rPr>
        <sz val="14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 xml:space="preserve">From </t>
    </r>
  </si>
  <si>
    <r>
      <rPr>
        <sz val="14"/>
        <color theme="1"/>
        <rFont val="Kokila"/>
        <family val="2"/>
      </rPr>
      <t>दिनांक</t>
    </r>
    <r>
      <rPr>
        <sz val="11"/>
        <color theme="1"/>
        <rFont val="Times New Roman"/>
        <family val="1"/>
      </rPr>
      <t xml:space="preserve"> Date </t>
    </r>
  </si>
  <si>
    <r>
      <rPr>
        <sz val="14"/>
        <color theme="1"/>
        <rFont val="Kokila"/>
        <family val="2"/>
      </rPr>
      <t>प्रापक</t>
    </r>
    <r>
      <rPr>
        <sz val="12"/>
        <color theme="1"/>
        <rFont val="Times New Roman"/>
        <family val="1"/>
      </rPr>
      <t xml:space="preserve"> To </t>
    </r>
  </si>
  <si>
    <r>
      <rPr>
        <sz val="16"/>
        <color theme="1"/>
        <rFont val="Kokila"/>
        <family val="2"/>
      </rPr>
      <t xml:space="preserve"> महा प्रबंधक (यांत्रिकरण) :  </t>
    </r>
    <r>
      <rPr>
        <sz val="11"/>
        <color theme="1"/>
        <rFont val="Times New Roman"/>
        <family val="1"/>
      </rPr>
      <t xml:space="preserve">GM(Instr Phase 1,2&amp;3):  </t>
    </r>
  </si>
  <si>
    <r>
      <rPr>
        <b/>
        <sz val="14"/>
        <color theme="1"/>
        <rFont val="Kokila"/>
        <family val="2"/>
      </rPr>
      <t>अभिकल्प एवं अभियांत्रिकी</t>
    </r>
    <r>
      <rPr>
        <b/>
        <sz val="10"/>
        <color theme="1"/>
        <rFont val="Times New Roman"/>
        <family val="1"/>
      </rPr>
      <t xml:space="preserve"> </t>
    </r>
    <r>
      <rPr>
        <b/>
        <sz val="11.5"/>
        <color theme="1"/>
        <rFont val="Times New Roman"/>
        <family val="1"/>
      </rPr>
      <t>DESIGN &amp; ENGINEERING</t>
    </r>
  </si>
  <si>
    <r>
      <rPr>
        <b/>
        <sz val="16"/>
        <color theme="1"/>
        <rFont val="Kokila"/>
        <family val="2"/>
      </rPr>
      <t>तकनीकी सेवाएं</t>
    </r>
    <r>
      <rPr>
        <b/>
        <sz val="11.5"/>
        <color theme="1"/>
        <rFont val="Times New Roman"/>
        <family val="1"/>
      </rPr>
      <t xml:space="preserve"> TECHNICAL SERVICES</t>
    </r>
  </si>
  <si>
    <t xml:space="preserve">महा प्रबंधक (टी एस : निरीक्षण एवं अभियांत्रिकी ) </t>
  </si>
  <si>
    <t xml:space="preserve">संलग्न Encl:  </t>
  </si>
  <si>
    <t>जैसा ऊपर वर्णित है ।</t>
  </si>
  <si>
    <t>प्रति:</t>
  </si>
  <si>
    <t>उप महा प्रबंधक  DGM(Instr)</t>
  </si>
  <si>
    <t xml:space="preserve">विषय  Sub  : </t>
  </si>
  <si>
    <t xml:space="preserve">संदर्ब  Ref    : </t>
  </si>
  <si>
    <t>F/DE/007/Sep-14-397</t>
  </si>
  <si>
    <t>PFI -14, Yield improvement by changing internals in Vacuum Distillation Unit-1 (VDU-1)</t>
  </si>
  <si>
    <t xml:space="preserve">शीट  संगलग्न पायें । कृप्या यंत्रिकरण सम्भधित सामग्रियों कि अनुमनित लागत षिघ्र भजे।   </t>
  </si>
  <si>
    <t xml:space="preserve">Please find attached herewith P&amp;ID and Instrumentation datasheets related to project number     </t>
  </si>
  <si>
    <t>PNO</t>
  </si>
  <si>
    <t>EE IOM FORMAT</t>
  </si>
  <si>
    <t>INSTR IOM FORMAT</t>
  </si>
  <si>
    <t>CIVIL IOM FORMAT</t>
  </si>
  <si>
    <r>
      <rPr>
        <sz val="16"/>
        <color theme="1"/>
        <rFont val="Kokila"/>
        <family val="2"/>
      </rPr>
      <t xml:space="preserve"> महा प्रबंधक (विद्युतीय) </t>
    </r>
    <r>
      <rPr>
        <sz val="11"/>
        <color theme="1"/>
        <rFont val="Times New Roman"/>
        <family val="1"/>
      </rPr>
      <t xml:space="preserve">GM(ELEC.MAINT):  </t>
    </r>
  </si>
  <si>
    <r>
      <rPr>
        <sz val="16"/>
        <color theme="1"/>
        <rFont val="Kokila"/>
        <family val="2"/>
      </rPr>
      <t xml:space="preserve"> महा प्रबंधक (सिविल) :  </t>
    </r>
    <r>
      <rPr>
        <sz val="11"/>
        <color theme="1"/>
        <rFont val="Times New Roman"/>
        <family val="1"/>
      </rPr>
      <t xml:space="preserve">GM(CIVIL):  </t>
    </r>
  </si>
  <si>
    <t>UNIT</t>
  </si>
  <si>
    <t>PHASE</t>
  </si>
  <si>
    <t>DESCRIPTION</t>
  </si>
  <si>
    <t>RECEIPT DD</t>
  </si>
  <si>
    <t>MM</t>
  </si>
  <si>
    <t>YY</t>
  </si>
  <si>
    <t>ISSUE DD</t>
  </si>
  <si>
    <t>COST IN LAKHS</t>
  </si>
  <si>
    <t>LAST MODIFIED</t>
  </si>
  <si>
    <t>variable listing</t>
  </si>
  <si>
    <t>CE_P_MID</t>
  </si>
  <si>
    <t>CE_P_LAST</t>
  </si>
  <si>
    <t>CE_PHASE</t>
  </si>
  <si>
    <t>CE_DISCRIPTION</t>
  </si>
  <si>
    <t>CE_ENTRY_RCVD_DD</t>
  </si>
  <si>
    <t>CE_ENTRY_RCVD_MM</t>
  </si>
  <si>
    <t>CE_ENTRY_RCVD_YYYY</t>
  </si>
  <si>
    <t>CE_INSTR_COMM</t>
  </si>
  <si>
    <t>CE_ELEC_COMM</t>
  </si>
  <si>
    <t>CE_CIVIL_COMM</t>
  </si>
  <si>
    <t>CE_LASTROW_PNO_CHK</t>
  </si>
  <si>
    <t>i</t>
  </si>
  <si>
    <t>CE_REQ_QTY</t>
  </si>
  <si>
    <t>CE_MAT_BASE_COST</t>
  </si>
  <si>
    <t>CE_MAT_COST_YEAR</t>
  </si>
  <si>
    <t>ITEM_ID</t>
  </si>
  <si>
    <t>CE_MAT_DISCR</t>
  </si>
  <si>
    <t>CE_INSTR_COST</t>
  </si>
  <si>
    <t>CE_ELEC_COST</t>
  </si>
  <si>
    <t>CE_CIVIL_COST</t>
  </si>
  <si>
    <t>CE_SITE_DD</t>
  </si>
  <si>
    <t>CE_SITE_MM</t>
  </si>
  <si>
    <t>CE_SITE_YY</t>
  </si>
  <si>
    <t>CE_STATIC_EQUIP_COST</t>
  </si>
  <si>
    <t>CE_STATIC_ROTARY_COST</t>
  </si>
  <si>
    <t>CE_INCOMPLETE</t>
  </si>
  <si>
    <t>CE_COMPLETE</t>
  </si>
  <si>
    <t>string</t>
  </si>
  <si>
    <t>integer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</si>
</sst>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yy"/>
    <numFmt numFmtId="165" formatCode="&quot;Rs.&quot;\ #,##0"/>
    <numFmt numFmtId="166" formatCode="0.000000000000000%"/>
    <numFmt numFmtId="167" formatCode="0.0%"/>
    <numFmt numFmtId="168" formatCode="0.000%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Times New Roman"/>
      <family val="1"/>
    </font>
    <font>
      <sz val="8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.5"/>
      <color theme="1"/>
      <name val="Times New Roman"/>
      <family val="1"/>
    </font>
    <font>
      <sz val="12"/>
      <color theme="1"/>
      <name val="Mangal"/>
      <family val="1"/>
    </font>
    <font>
      <sz val="11"/>
      <color theme="1"/>
      <name val="Kokila"/>
      <family val="2"/>
    </font>
    <font>
      <sz val="14"/>
      <color theme="1"/>
      <name val="Kokila"/>
      <family val="2"/>
    </font>
    <font>
      <sz val="16"/>
      <color theme="1"/>
      <name val="Kokila"/>
      <family val="2"/>
    </font>
    <font>
      <sz val="11"/>
      <color theme="0"/>
      <name val="Times New Roman"/>
      <family val="1"/>
    </font>
    <font>
      <b/>
      <sz val="10"/>
      <color theme="1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b/>
      <sz val="14"/>
      <color theme="1"/>
      <name val="Kokila"/>
      <family val="2"/>
    </font>
    <font>
      <b/>
      <sz val="16"/>
      <color theme="1"/>
      <name val="Kokila"/>
      <family val="2"/>
    </font>
    <font>
      <b/>
      <sz val="22"/>
      <color theme="1"/>
      <name val="Kokila"/>
      <family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114"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 applyFill="1"/>
    <xf numFmtId="0" fontId="0" fillId="0" borderId="0" xfId="0" quotePrefix="1" applyAlignment="1">
      <alignment horizontal="left"/>
    </xf>
    <xf numFmtId="0" fontId="0" fillId="2" borderId="0" xfId="0" applyFill="1"/>
    <xf numFmtId="0" fontId="0" fillId="0" borderId="0" xfId="0" applyAlignment="1">
      <alignment horizontal="left"/>
    </xf>
    <xf numFmtId="164" fontId="0" fillId="0" borderId="0" xfId="0" applyNumberFormat="1"/>
    <xf numFmtId="0" fontId="5" fillId="6" borderId="3" xfId="0" quotePrefix="1" applyFont="1" applyFill="1" applyBorder="1"/>
    <xf numFmtId="0" fontId="6" fillId="0" borderId="0" xfId="0" applyFont="1" applyBorder="1"/>
    <xf numFmtId="165" fontId="8" fillId="0" borderId="0" xfId="1" applyNumberFormat="1" applyFont="1" applyBorder="1"/>
    <xf numFmtId="0" fontId="9" fillId="0" borderId="0" xfId="0" applyFont="1" applyBorder="1"/>
    <xf numFmtId="0" fontId="0" fillId="0" borderId="0" xfId="0" applyBorder="1" applyAlignment="1">
      <alignment horizontal="left"/>
    </xf>
    <xf numFmtId="166" fontId="0" fillId="0" borderId="0" xfId="0" applyNumberFormat="1"/>
    <xf numFmtId="167" fontId="0" fillId="0" borderId="0" xfId="0" applyNumberFormat="1"/>
    <xf numFmtId="0" fontId="7" fillId="0" borderId="0" xfId="1" applyFont="1"/>
    <xf numFmtId="0" fontId="10" fillId="6" borderId="0" xfId="0" applyFont="1" applyFill="1"/>
    <xf numFmtId="9" fontId="10" fillId="6" borderId="3" xfId="0" applyNumberFormat="1" applyFont="1" applyFill="1" applyBorder="1"/>
    <xf numFmtId="0" fontId="10" fillId="0" borderId="0" xfId="0" applyFont="1"/>
    <xf numFmtId="167" fontId="10" fillId="6" borderId="3" xfId="0" applyNumberFormat="1" applyFont="1" applyFill="1" applyBorder="1"/>
    <xf numFmtId="0" fontId="5" fillId="6" borderId="3" xfId="0" applyFont="1" applyFill="1" applyBorder="1"/>
    <xf numFmtId="165" fontId="8" fillId="0" borderId="0" xfId="1" applyNumberFormat="1" applyFont="1" applyBorder="1" applyAlignment="1">
      <alignment horizontal="right"/>
    </xf>
    <xf numFmtId="0" fontId="0" fillId="0" borderId="0" xfId="0" applyFill="1" applyBorder="1" applyAlignment="1">
      <alignment horizontal="left"/>
    </xf>
    <xf numFmtId="168" fontId="10" fillId="6" borderId="3" xfId="0" applyNumberFormat="1" applyFont="1" applyFill="1" applyBorder="1"/>
    <xf numFmtId="0" fontId="10" fillId="0" borderId="0" xfId="0" applyFont="1" applyFill="1" applyBorder="1"/>
    <xf numFmtId="9" fontId="10" fillId="0" borderId="0" xfId="0" applyNumberFormat="1" applyFont="1" applyFill="1" applyBorder="1"/>
    <xf numFmtId="9" fontId="10" fillId="0" borderId="0" xfId="0" applyNumberFormat="1" applyFont="1"/>
    <xf numFmtId="167" fontId="10" fillId="0" borderId="0" xfId="0" applyNumberFormat="1" applyFont="1"/>
    <xf numFmtId="0" fontId="5" fillId="6" borderId="2" xfId="0" applyFont="1" applyFill="1" applyBorder="1"/>
    <xf numFmtId="9" fontId="0" fillId="0" borderId="0" xfId="0" applyNumberFormat="1"/>
    <xf numFmtId="0" fontId="11" fillId="0" borderId="0" xfId="0" applyFont="1" applyAlignment="1">
      <alignment vertical="center"/>
    </xf>
    <xf numFmtId="0" fontId="13" fillId="3" borderId="0" xfId="0" applyFont="1" applyFill="1"/>
    <xf numFmtId="0" fontId="19" fillId="4" borderId="0" xfId="0" applyFont="1" applyFill="1"/>
    <xf numFmtId="0" fontId="13" fillId="0" borderId="0" xfId="0" applyFont="1"/>
    <xf numFmtId="0" fontId="13" fillId="0" borderId="1" xfId="0" applyFont="1" applyBorder="1"/>
    <xf numFmtId="0" fontId="13" fillId="0" borderId="2" xfId="0" applyFont="1" applyFill="1" applyBorder="1"/>
    <xf numFmtId="0" fontId="19" fillId="4" borderId="0" xfId="0" applyFont="1" applyFill="1" applyBorder="1" applyAlignment="1">
      <alignment horizontal="left"/>
    </xf>
    <xf numFmtId="0" fontId="13" fillId="5" borderId="3" xfId="0" applyFont="1" applyFill="1" applyBorder="1" applyProtection="1">
      <protection locked="0"/>
    </xf>
    <xf numFmtId="0" fontId="13" fillId="5" borderId="3" xfId="0" quotePrefix="1" applyFont="1" applyFill="1" applyBorder="1" applyAlignment="1" applyProtection="1">
      <alignment horizontal="left"/>
      <protection locked="0"/>
    </xf>
    <xf numFmtId="0" fontId="13" fillId="5" borderId="0" xfId="0" applyFont="1" applyFill="1" applyProtection="1">
      <protection locked="0"/>
    </xf>
    <xf numFmtId="165" fontId="19" fillId="4" borderId="0" xfId="0" applyNumberFormat="1" applyFont="1" applyFill="1"/>
    <xf numFmtId="0" fontId="13" fillId="0" borderId="0" xfId="0" applyFont="1" applyProtection="1">
      <protection locked="0"/>
    </xf>
    <xf numFmtId="0" fontId="13" fillId="0" borderId="0" xfId="0" applyFont="1" applyBorder="1"/>
    <xf numFmtId="0" fontId="13" fillId="0" borderId="11" xfId="0" applyFont="1" applyBorder="1"/>
    <xf numFmtId="0" fontId="16" fillId="0" borderId="3" xfId="0" quotePrefix="1" applyFont="1" applyBorder="1" applyAlignment="1">
      <alignment horizontal="left"/>
    </xf>
    <xf numFmtId="0" fontId="13" fillId="0" borderId="12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5" fillId="0" borderId="1" xfId="0" quotePrefix="1" applyFont="1" applyBorder="1" applyAlignment="1">
      <alignment horizontal="left" wrapText="1"/>
    </xf>
    <xf numFmtId="0" fontId="16" fillId="0" borderId="3" xfId="0" quotePrefix="1" applyFont="1" applyBorder="1" applyAlignment="1">
      <alignment horizontal="left" vertical="center" wrapText="1"/>
    </xf>
    <xf numFmtId="0" fontId="13" fillId="0" borderId="11" xfId="0" applyFont="1" applyBorder="1" applyAlignment="1">
      <alignment horizontal="center" vertical="center"/>
    </xf>
    <xf numFmtId="0" fontId="13" fillId="0" borderId="0" xfId="0" quotePrefix="1" applyFont="1" applyAlignment="1">
      <alignment horizontal="left"/>
    </xf>
    <xf numFmtId="0" fontId="18" fillId="0" borderId="0" xfId="0" applyFont="1"/>
    <xf numFmtId="0" fontId="18" fillId="0" borderId="0" xfId="0" quotePrefix="1" applyFont="1" applyAlignment="1">
      <alignment horizontal="left"/>
    </xf>
    <xf numFmtId="0" fontId="24" fillId="0" borderId="0" xfId="0" applyFont="1"/>
    <xf numFmtId="0" fontId="18" fillId="0" borderId="0" xfId="0" quotePrefix="1" applyFont="1" applyAlignment="1">
      <alignment horizontal="left" wrapText="1"/>
    </xf>
    <xf numFmtId="0" fontId="13" fillId="0" borderId="15" xfId="0" applyFont="1" applyBorder="1"/>
    <xf numFmtId="0" fontId="13" fillId="0" borderId="16" xfId="0" applyFont="1" applyBorder="1"/>
    <xf numFmtId="0" fontId="13" fillId="0" borderId="5" xfId="0" applyFont="1" applyBorder="1"/>
    <xf numFmtId="0" fontId="13" fillId="0" borderId="17" xfId="0" applyFont="1" applyBorder="1"/>
    <xf numFmtId="0" fontId="13" fillId="0" borderId="18" xfId="0" applyFont="1" applyBorder="1"/>
    <xf numFmtId="0" fontId="11" fillId="0" borderId="0" xfId="0" applyFont="1" applyBorder="1" applyAlignment="1">
      <alignment vertical="center"/>
    </xf>
    <xf numFmtId="0" fontId="18" fillId="0" borderId="0" xfId="0" applyFont="1" applyBorder="1"/>
    <xf numFmtId="0" fontId="13" fillId="0" borderId="19" xfId="0" applyFont="1" applyBorder="1"/>
    <xf numFmtId="0" fontId="13" fillId="0" borderId="7" xfId="0" applyFont="1" applyBorder="1"/>
    <xf numFmtId="0" fontId="13" fillId="0" borderId="6" xfId="0" applyFont="1" applyBorder="1"/>
    <xf numFmtId="0" fontId="13" fillId="0" borderId="20" xfId="0" applyFont="1" applyBorder="1"/>
    <xf numFmtId="0" fontId="11" fillId="0" borderId="18" xfId="0" applyFont="1" applyBorder="1" applyAlignment="1">
      <alignment vertical="center"/>
    </xf>
    <xf numFmtId="0" fontId="16" fillId="0" borderId="21" xfId="0" quotePrefix="1" applyFont="1" applyBorder="1" applyAlignment="1">
      <alignment horizontal="left" vertical="center" wrapText="1"/>
    </xf>
    <xf numFmtId="0" fontId="16" fillId="0" borderId="21" xfId="0" quotePrefix="1" applyFont="1" applyBorder="1" applyAlignment="1">
      <alignment horizontal="left"/>
    </xf>
    <xf numFmtId="0" fontId="13" fillId="0" borderId="22" xfId="0" applyFont="1" applyBorder="1" applyAlignment="1">
      <alignment horizontal="center"/>
    </xf>
    <xf numFmtId="0" fontId="18" fillId="0" borderId="17" xfId="0" quotePrefix="1" applyFont="1" applyBorder="1" applyAlignment="1">
      <alignment horizontal="left" wrapText="1"/>
    </xf>
    <xf numFmtId="0" fontId="18" fillId="0" borderId="17" xfId="0" applyFont="1" applyBorder="1"/>
    <xf numFmtId="0" fontId="18" fillId="0" borderId="17" xfId="0" quotePrefix="1" applyFont="1" applyBorder="1" applyAlignment="1">
      <alignment horizontal="left"/>
    </xf>
    <xf numFmtId="0" fontId="24" fillId="0" borderId="17" xfId="0" applyFont="1" applyBorder="1"/>
    <xf numFmtId="0" fontId="26" fillId="4" borderId="0" xfId="0" applyFont="1" applyFill="1" applyBorder="1" applyAlignment="1">
      <alignment horizontal="left"/>
    </xf>
    <xf numFmtId="0" fontId="26" fillId="4" borderId="0" xfId="0" applyFont="1" applyFill="1" applyBorder="1"/>
    <xf numFmtId="0" fontId="26" fillId="4" borderId="0" xfId="0" applyFont="1" applyFill="1" applyBorder="1" applyAlignment="1">
      <alignment horizontal="center"/>
    </xf>
    <xf numFmtId="14" fontId="26" fillId="4" borderId="0" xfId="0" applyNumberFormat="1" applyFont="1" applyFill="1" applyBorder="1" applyAlignment="1">
      <alignment horizontal="center"/>
    </xf>
    <xf numFmtId="0" fontId="26" fillId="4" borderId="0" xfId="0" applyFont="1" applyFill="1" applyBorder="1" applyAlignment="1">
      <alignment horizontal="left" wrapText="1"/>
    </xf>
    <xf numFmtId="0" fontId="26" fillId="4" borderId="0" xfId="0" applyFont="1" applyFill="1" applyBorder="1" applyAlignment="1">
      <alignment wrapText="1"/>
    </xf>
    <xf numFmtId="14" fontId="26" fillId="4" borderId="0" xfId="0" quotePrefix="1" applyNumberFormat="1" applyFont="1" applyFill="1" applyBorder="1" applyAlignment="1">
      <alignment horizontal="center" wrapText="1"/>
    </xf>
    <xf numFmtId="0" fontId="22" fillId="0" borderId="14" xfId="0" quotePrefix="1" applyFont="1" applyBorder="1" applyAlignment="1">
      <alignment horizontal="center" vertical="center" wrapText="1"/>
    </xf>
    <xf numFmtId="0" fontId="22" fillId="0" borderId="12" xfId="0" quotePrefix="1" applyFont="1" applyBorder="1" applyAlignment="1">
      <alignment horizontal="center" vertical="center" wrapText="1"/>
    </xf>
    <xf numFmtId="0" fontId="22" fillId="0" borderId="13" xfId="0" quotePrefix="1" applyFont="1" applyBorder="1" applyAlignment="1">
      <alignment horizontal="center" vertical="center" wrapText="1"/>
    </xf>
    <xf numFmtId="0" fontId="13" fillId="0" borderId="14" xfId="0" quotePrefix="1" applyFont="1" applyBorder="1" applyAlignment="1">
      <alignment horizontal="center" wrapText="1"/>
    </xf>
    <xf numFmtId="0" fontId="13" fillId="0" borderId="12" xfId="0" quotePrefix="1" applyFont="1" applyBorder="1" applyAlignment="1">
      <alignment horizontal="center" wrapText="1"/>
    </xf>
    <xf numFmtId="0" fontId="13" fillId="0" borderId="22" xfId="0" quotePrefix="1" applyFont="1" applyBorder="1" applyAlignment="1">
      <alignment horizontal="center" wrapText="1"/>
    </xf>
    <xf numFmtId="0" fontId="13" fillId="0" borderId="0" xfId="0" applyFont="1" applyBorder="1" applyAlignment="1">
      <alignment horizontal="left" wrapText="1"/>
    </xf>
    <xf numFmtId="0" fontId="13" fillId="0" borderId="18" xfId="0" applyFont="1" applyBorder="1" applyAlignment="1">
      <alignment horizontal="left" wrapText="1"/>
    </xf>
    <xf numFmtId="0" fontId="13" fillId="0" borderId="0" xfId="0" applyFont="1" applyBorder="1" applyAlignment="1">
      <alignment horizontal="left"/>
    </xf>
    <xf numFmtId="0" fontId="13" fillId="0" borderId="17" xfId="0" quotePrefix="1" applyFont="1" applyBorder="1" applyAlignment="1">
      <alignment horizontal="left" wrapText="1"/>
    </xf>
    <xf numFmtId="0" fontId="13" fillId="0" borderId="0" xfId="0" quotePrefix="1" applyFont="1" applyBorder="1" applyAlignment="1">
      <alignment horizontal="left" wrapText="1"/>
    </xf>
    <xf numFmtId="0" fontId="13" fillId="0" borderId="18" xfId="0" quotePrefix="1" applyFont="1" applyBorder="1" applyAlignment="1">
      <alignment horizontal="left" wrapText="1"/>
    </xf>
    <xf numFmtId="0" fontId="13" fillId="0" borderId="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25" fillId="0" borderId="0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4" fillId="0" borderId="10" xfId="0" quotePrefix="1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20" fillId="0" borderId="0" xfId="0" quotePrefix="1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13" fillId="0" borderId="17" xfId="0" quotePrefix="1" applyFont="1" applyBorder="1" applyAlignment="1">
      <alignment horizontal="center" wrapText="1"/>
    </xf>
    <xf numFmtId="0" fontId="13" fillId="0" borderId="0" xfId="0" quotePrefix="1" applyFont="1" applyBorder="1" applyAlignment="1">
      <alignment horizontal="center" wrapText="1"/>
    </xf>
    <xf numFmtId="0" fontId="13" fillId="0" borderId="18" xfId="0" quotePrefix="1" applyFont="1" applyBorder="1" applyAlignment="1">
      <alignment horizontal="center" wrapText="1"/>
    </xf>
    <xf numFmtId="0" fontId="19" fillId="4" borderId="0" xfId="0" applyFont="1" applyFill="1" applyAlignment="1">
      <alignment horizontal="center"/>
    </xf>
    <xf numFmtId="0" fontId="13" fillId="0" borderId="0" xfId="0" applyFont="1" applyAlignment="1">
      <alignment horizontal="left" wrapText="1"/>
    </xf>
    <xf numFmtId="0" fontId="13" fillId="0" borderId="0" xfId="0" applyFont="1" applyAlignment="1">
      <alignment horizontal="left"/>
    </xf>
    <xf numFmtId="0" fontId="13" fillId="0" borderId="13" xfId="0" quotePrefix="1" applyFont="1" applyBorder="1" applyAlignment="1">
      <alignment horizont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FFFF"/>
      <color rgb="FFE735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134713</xdr:colOff>
      <xdr:row>170</xdr:row>
      <xdr:rowOff>59191</xdr:rowOff>
    </xdr:from>
    <xdr:to>
      <xdr:col>44</xdr:col>
      <xdr:colOff>142876</xdr:colOff>
      <xdr:row>179</xdr:row>
      <xdr:rowOff>95250</xdr:rowOff>
    </xdr:to>
    <xdr:cxnSp macro="">
      <xdr:nvCxnSpPr>
        <xdr:cNvPr id="383" name="Straight Arrow Connector 382"/>
        <xdr:cNvCxnSpPr/>
      </xdr:nvCxnSpPr>
      <xdr:spPr>
        <a:xfrm rot="16200000" flipH="1">
          <a:off x="26505015" y="33315389"/>
          <a:ext cx="1750559" cy="8163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457200</xdr:colOff>
      <xdr:row>13</xdr:row>
      <xdr:rowOff>114301</xdr:rowOff>
    </xdr:from>
    <xdr:to>
      <xdr:col>115</xdr:col>
      <xdr:colOff>95250</xdr:colOff>
      <xdr:row>47</xdr:row>
      <xdr:rowOff>0</xdr:rowOff>
    </xdr:to>
    <xdr:sp macro="" textlink="">
      <xdr:nvSpPr>
        <xdr:cNvPr id="2" name="Flowchart: Process 1"/>
        <xdr:cNvSpPr/>
      </xdr:nvSpPr>
      <xdr:spPr>
        <a:xfrm>
          <a:off x="11315700" y="2590801"/>
          <a:ext cx="54502050" cy="6362699"/>
        </a:xfrm>
        <a:prstGeom prst="flowChartProcess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55</xdr:col>
      <xdr:colOff>570634</xdr:colOff>
      <xdr:row>1</xdr:row>
      <xdr:rowOff>129021</xdr:rowOff>
    </xdr:from>
    <xdr:to>
      <xdr:col>73</xdr:col>
      <xdr:colOff>38099</xdr:colOff>
      <xdr:row>9</xdr:row>
      <xdr:rowOff>76200</xdr:rowOff>
    </xdr:to>
    <xdr:sp macro="" textlink="">
      <xdr:nvSpPr>
        <xdr:cNvPr id="3" name="Oval 2"/>
        <xdr:cNvSpPr/>
      </xdr:nvSpPr>
      <xdr:spPr>
        <a:xfrm>
          <a:off x="34098634" y="319521"/>
          <a:ext cx="10440265" cy="1471179"/>
        </a:xfrm>
        <a:prstGeom prst="ellips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20</xdr:col>
      <xdr:colOff>191632</xdr:colOff>
      <xdr:row>20</xdr:row>
      <xdr:rowOff>38101</xdr:rowOff>
    </xdr:from>
    <xdr:to>
      <xdr:col>23</xdr:col>
      <xdr:colOff>190500</xdr:colOff>
      <xdr:row>25</xdr:row>
      <xdr:rowOff>3</xdr:rowOff>
    </xdr:to>
    <xdr:sp macro="" textlink="">
      <xdr:nvSpPr>
        <xdr:cNvPr id="4" name="Rectangle 3"/>
        <xdr:cNvSpPr/>
      </xdr:nvSpPr>
      <xdr:spPr>
        <a:xfrm>
          <a:off x="12383632" y="3848101"/>
          <a:ext cx="1827668" cy="914402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8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CE </a:t>
          </a:r>
        </a:p>
        <a:p>
          <a:pPr algn="ctr"/>
          <a:r>
            <a:rPr lang="en-IN" sz="18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NEW</a:t>
          </a:r>
        </a:p>
      </xdr:txBody>
    </xdr:sp>
    <xdr:clientData/>
  </xdr:twoCellAnchor>
  <xdr:twoCellAnchor>
    <xdr:from>
      <xdr:col>52</xdr:col>
      <xdr:colOff>75088</xdr:colOff>
      <xdr:row>17</xdr:row>
      <xdr:rowOff>103909</xdr:rowOff>
    </xdr:from>
    <xdr:to>
      <xdr:col>54</xdr:col>
      <xdr:colOff>398318</xdr:colOff>
      <xdr:row>22</xdr:row>
      <xdr:rowOff>103909</xdr:rowOff>
    </xdr:to>
    <xdr:sp macro="" textlink="">
      <xdr:nvSpPr>
        <xdr:cNvPr id="5" name="Rectangle 4"/>
        <xdr:cNvSpPr/>
      </xdr:nvSpPr>
      <xdr:spPr>
        <a:xfrm>
          <a:off x="31774288" y="3342409"/>
          <a:ext cx="1542430" cy="9525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8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EE </a:t>
          </a:r>
        </a:p>
        <a:p>
          <a:pPr algn="ctr"/>
          <a:r>
            <a:rPr lang="en-IN" sz="18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NEW</a:t>
          </a:r>
        </a:p>
      </xdr:txBody>
    </xdr:sp>
    <xdr:clientData/>
  </xdr:twoCellAnchor>
  <xdr:twoCellAnchor>
    <xdr:from>
      <xdr:col>92</xdr:col>
      <xdr:colOff>580951</xdr:colOff>
      <xdr:row>16</xdr:row>
      <xdr:rowOff>121228</xdr:rowOff>
    </xdr:from>
    <xdr:to>
      <xdr:col>95</xdr:col>
      <xdr:colOff>229467</xdr:colOff>
      <xdr:row>21</xdr:row>
      <xdr:rowOff>76201</xdr:rowOff>
    </xdr:to>
    <xdr:sp macro="" textlink="">
      <xdr:nvSpPr>
        <xdr:cNvPr id="6" name="Rectangle 5"/>
        <xdr:cNvSpPr/>
      </xdr:nvSpPr>
      <xdr:spPr>
        <a:xfrm>
          <a:off x="56664151" y="3169228"/>
          <a:ext cx="1477316" cy="90747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8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PR NEW</a:t>
          </a:r>
        </a:p>
      </xdr:txBody>
    </xdr:sp>
    <xdr:clientData/>
  </xdr:twoCellAnchor>
  <xdr:twoCellAnchor>
    <xdr:from>
      <xdr:col>20</xdr:col>
      <xdr:colOff>310789</xdr:colOff>
      <xdr:row>29</xdr:row>
      <xdr:rowOff>170585</xdr:rowOff>
    </xdr:from>
    <xdr:to>
      <xdr:col>23</xdr:col>
      <xdr:colOff>34635</xdr:colOff>
      <xdr:row>34</xdr:row>
      <xdr:rowOff>162791</xdr:rowOff>
    </xdr:to>
    <xdr:sp macro="" textlink="">
      <xdr:nvSpPr>
        <xdr:cNvPr id="7" name="Rectangle 6"/>
        <xdr:cNvSpPr/>
      </xdr:nvSpPr>
      <xdr:spPr>
        <a:xfrm>
          <a:off x="12502789" y="5695085"/>
          <a:ext cx="1552646" cy="944706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CE</a:t>
          </a:r>
        </a:p>
        <a:p>
          <a:pPr algn="ctr"/>
          <a:r>
            <a:rPr lang="en-IN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UPDATE</a:t>
          </a:r>
        </a:p>
      </xdr:txBody>
    </xdr:sp>
    <xdr:clientData/>
  </xdr:twoCellAnchor>
  <xdr:twoCellAnchor>
    <xdr:from>
      <xdr:col>52</xdr:col>
      <xdr:colOff>117236</xdr:colOff>
      <xdr:row>27</xdr:row>
      <xdr:rowOff>71005</xdr:rowOff>
    </xdr:from>
    <xdr:to>
      <xdr:col>54</xdr:col>
      <xdr:colOff>374072</xdr:colOff>
      <xdr:row>31</xdr:row>
      <xdr:rowOff>173181</xdr:rowOff>
    </xdr:to>
    <xdr:sp macro="" textlink="">
      <xdr:nvSpPr>
        <xdr:cNvPr id="8" name="Rectangle 7"/>
        <xdr:cNvSpPr/>
      </xdr:nvSpPr>
      <xdr:spPr>
        <a:xfrm>
          <a:off x="31816436" y="5214505"/>
          <a:ext cx="1476036" cy="86417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EE </a:t>
          </a:r>
        </a:p>
        <a:p>
          <a:pPr algn="ctr"/>
          <a:r>
            <a:rPr lang="en-IN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UPDATE</a:t>
          </a:r>
        </a:p>
      </xdr:txBody>
    </xdr:sp>
    <xdr:clientData/>
  </xdr:twoCellAnchor>
  <xdr:twoCellAnchor>
    <xdr:from>
      <xdr:col>93</xdr:col>
      <xdr:colOff>99580</xdr:colOff>
      <xdr:row>27</xdr:row>
      <xdr:rowOff>76201</xdr:rowOff>
    </xdr:from>
    <xdr:to>
      <xdr:col>95</xdr:col>
      <xdr:colOff>266700</xdr:colOff>
      <xdr:row>32</xdr:row>
      <xdr:rowOff>145473</xdr:rowOff>
    </xdr:to>
    <xdr:sp macro="" textlink="">
      <xdr:nvSpPr>
        <xdr:cNvPr id="9" name="Rectangle 8"/>
        <xdr:cNvSpPr/>
      </xdr:nvSpPr>
      <xdr:spPr>
        <a:xfrm>
          <a:off x="56792380" y="5219701"/>
          <a:ext cx="1386320" cy="1021772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PR</a:t>
          </a:r>
        </a:p>
        <a:p>
          <a:pPr algn="ctr"/>
          <a:r>
            <a:rPr lang="en-IN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UPDATE</a:t>
          </a:r>
        </a:p>
      </xdr:txBody>
    </xdr:sp>
    <xdr:clientData/>
  </xdr:twoCellAnchor>
  <xdr:twoCellAnchor>
    <xdr:from>
      <xdr:col>20</xdr:col>
      <xdr:colOff>263591</xdr:colOff>
      <xdr:row>38</xdr:row>
      <xdr:rowOff>158462</xdr:rowOff>
    </xdr:from>
    <xdr:to>
      <xdr:col>22</xdr:col>
      <xdr:colOff>571500</xdr:colOff>
      <xdr:row>43</xdr:row>
      <xdr:rowOff>169718</xdr:rowOff>
    </xdr:to>
    <xdr:sp macro="" textlink="">
      <xdr:nvSpPr>
        <xdr:cNvPr id="11" name="Rectangle 10"/>
        <xdr:cNvSpPr/>
      </xdr:nvSpPr>
      <xdr:spPr>
        <a:xfrm>
          <a:off x="12455591" y="7397462"/>
          <a:ext cx="1527109" cy="963756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>
              <a:rot lat="0" lon="0" rev="0"/>
            </a:camera>
            <a:lightRig rig="glow" dir="t">
              <a:rot lat="0" lon="0" rev="3600000"/>
            </a:lightRig>
          </a:scene3d>
          <a:sp3d prstMaterial="softEdge">
            <a:bevelT w="29210" h="16510"/>
            <a:contourClr>
              <a:schemeClr val="accent4">
                <a:alpha val="95000"/>
              </a:schemeClr>
            </a:contourClr>
          </a:sp3d>
        </a:bodyPr>
        <a:lstStyle/>
        <a:p>
          <a:pPr algn="ctr"/>
          <a:r>
            <a:rPr lang="en-IN" sz="1800" b="1" cap="none" spc="0">
              <a:ln>
                <a:prstDash val="solid"/>
              </a:ln>
              <a:solidFill>
                <a:srgbClr val="002060"/>
              </a:solidFill>
              <a:effectLst>
                <a:outerShdw blurRad="88000" dist="50800" dir="5040000" algn="tl">
                  <a:schemeClr val="accent4">
                    <a:tint val="80000"/>
                    <a:satMod val="250000"/>
                    <a:alpha val="45000"/>
                  </a:schemeClr>
                </a:outerShdw>
              </a:effectLst>
            </a:rPr>
            <a:t>CE </a:t>
          </a:r>
        </a:p>
        <a:p>
          <a:pPr algn="ctr"/>
          <a:r>
            <a:rPr lang="en-IN" sz="1800" b="1" cap="none" spc="0">
              <a:ln>
                <a:prstDash val="solid"/>
              </a:ln>
              <a:solidFill>
                <a:srgbClr val="002060"/>
              </a:solidFill>
              <a:effectLst>
                <a:outerShdw blurRad="88000" dist="50800" dir="5040000" algn="tl">
                  <a:schemeClr val="accent4">
                    <a:tint val="80000"/>
                    <a:satMod val="250000"/>
                    <a:alpha val="45000"/>
                  </a:schemeClr>
                </a:outerShdw>
              </a:effectLst>
            </a:rPr>
            <a:t>STATUS</a:t>
          </a:r>
        </a:p>
      </xdr:txBody>
    </xdr:sp>
    <xdr:clientData/>
  </xdr:twoCellAnchor>
  <xdr:twoCellAnchor>
    <xdr:from>
      <xdr:col>52</xdr:col>
      <xdr:colOff>32377</xdr:colOff>
      <xdr:row>37</xdr:row>
      <xdr:rowOff>38100</xdr:rowOff>
    </xdr:from>
    <xdr:to>
      <xdr:col>54</xdr:col>
      <xdr:colOff>439882</xdr:colOff>
      <xdr:row>42</xdr:row>
      <xdr:rowOff>3464</xdr:rowOff>
    </xdr:to>
    <xdr:sp macro="" textlink="">
      <xdr:nvSpPr>
        <xdr:cNvPr id="12" name="Rectangle 11"/>
        <xdr:cNvSpPr/>
      </xdr:nvSpPr>
      <xdr:spPr>
        <a:xfrm>
          <a:off x="31731577" y="7086600"/>
          <a:ext cx="1626705" cy="91786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>
              <a:rot lat="0" lon="0" rev="0"/>
            </a:camera>
            <a:lightRig rig="glow" dir="t">
              <a:rot lat="0" lon="0" rev="3600000"/>
            </a:lightRig>
          </a:scene3d>
          <a:sp3d prstMaterial="softEdge">
            <a:bevelT w="29210" h="16510"/>
            <a:contourClr>
              <a:schemeClr val="accent4">
                <a:alpha val="95000"/>
              </a:schemeClr>
            </a:contourClr>
          </a:sp3d>
        </a:bodyPr>
        <a:lstStyle/>
        <a:p>
          <a:pPr algn="ctr"/>
          <a:r>
            <a:rPr lang="en-IN" sz="1800" b="1" cap="none" spc="0">
              <a:ln>
                <a:prstDash val="solid"/>
              </a:ln>
              <a:solidFill>
                <a:srgbClr val="002060"/>
              </a:solidFill>
              <a:effectLst>
                <a:outerShdw blurRad="88000" dist="50800" dir="5040000" algn="tl">
                  <a:schemeClr val="accent4">
                    <a:tint val="80000"/>
                    <a:satMod val="250000"/>
                    <a:alpha val="45000"/>
                  </a:schemeClr>
                </a:outerShdw>
              </a:effectLst>
            </a:rPr>
            <a:t>EE</a:t>
          </a:r>
        </a:p>
        <a:p>
          <a:pPr algn="ctr"/>
          <a:r>
            <a:rPr lang="en-IN" sz="1800" b="1" cap="none" spc="0">
              <a:ln>
                <a:prstDash val="solid"/>
              </a:ln>
              <a:solidFill>
                <a:srgbClr val="002060"/>
              </a:solidFill>
              <a:effectLst>
                <a:outerShdw blurRad="88000" dist="50800" dir="5040000" algn="tl">
                  <a:schemeClr val="accent4">
                    <a:tint val="80000"/>
                    <a:satMod val="250000"/>
                    <a:alpha val="45000"/>
                  </a:schemeClr>
                </a:outerShdw>
              </a:effectLst>
            </a:rPr>
            <a:t>STATUS</a:t>
          </a:r>
        </a:p>
      </xdr:txBody>
    </xdr:sp>
    <xdr:clientData/>
  </xdr:twoCellAnchor>
  <xdr:twoCellAnchor>
    <xdr:from>
      <xdr:col>93</xdr:col>
      <xdr:colOff>43209</xdr:colOff>
      <xdr:row>37</xdr:row>
      <xdr:rowOff>187036</xdr:rowOff>
    </xdr:from>
    <xdr:to>
      <xdr:col>95</xdr:col>
      <xdr:colOff>325583</xdr:colOff>
      <xdr:row>42</xdr:row>
      <xdr:rowOff>110837</xdr:rowOff>
    </xdr:to>
    <xdr:sp macro="" textlink="">
      <xdr:nvSpPr>
        <xdr:cNvPr id="13" name="Rectangle 12"/>
        <xdr:cNvSpPr/>
      </xdr:nvSpPr>
      <xdr:spPr>
        <a:xfrm>
          <a:off x="56736009" y="7235536"/>
          <a:ext cx="1501574" cy="87630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>
              <a:rot lat="0" lon="0" rev="0"/>
            </a:camera>
            <a:lightRig rig="glow" dir="t">
              <a:rot lat="0" lon="0" rev="3600000"/>
            </a:lightRig>
          </a:scene3d>
          <a:sp3d prstMaterial="softEdge">
            <a:bevelT w="29210" h="16510"/>
            <a:contourClr>
              <a:schemeClr val="accent4">
                <a:alpha val="95000"/>
              </a:schemeClr>
            </a:contourClr>
          </a:sp3d>
        </a:bodyPr>
        <a:lstStyle/>
        <a:p>
          <a:pPr algn="ctr"/>
          <a:r>
            <a:rPr lang="en-IN" sz="1800" b="1" cap="none" spc="0">
              <a:ln>
                <a:prstDash val="solid"/>
              </a:ln>
              <a:solidFill>
                <a:srgbClr val="002060"/>
              </a:solidFill>
              <a:effectLst>
                <a:outerShdw blurRad="88000" dist="50800" dir="5040000" algn="tl">
                  <a:schemeClr val="accent4">
                    <a:tint val="80000"/>
                    <a:satMod val="250000"/>
                    <a:alpha val="45000"/>
                  </a:schemeClr>
                </a:outerShdw>
              </a:effectLst>
            </a:rPr>
            <a:t>PR </a:t>
          </a:r>
        </a:p>
        <a:p>
          <a:pPr algn="ctr"/>
          <a:r>
            <a:rPr lang="en-IN" sz="1800" b="1" cap="none" spc="0">
              <a:ln>
                <a:prstDash val="solid"/>
              </a:ln>
              <a:solidFill>
                <a:srgbClr val="002060"/>
              </a:solidFill>
              <a:effectLst>
                <a:outerShdw blurRad="88000" dist="50800" dir="5040000" algn="tl">
                  <a:schemeClr val="accent4">
                    <a:tint val="80000"/>
                    <a:satMod val="250000"/>
                    <a:alpha val="45000"/>
                  </a:schemeClr>
                </a:outerShdw>
              </a:effectLst>
            </a:rPr>
            <a:t>STATUS</a:t>
          </a:r>
        </a:p>
      </xdr:txBody>
    </xdr:sp>
    <xdr:clientData/>
  </xdr:twoCellAnchor>
  <xdr:twoCellAnchor>
    <xdr:from>
      <xdr:col>24</xdr:col>
      <xdr:colOff>50607</xdr:colOff>
      <xdr:row>14</xdr:row>
      <xdr:rowOff>74469</xdr:rowOff>
    </xdr:from>
    <xdr:to>
      <xdr:col>38</xdr:col>
      <xdr:colOff>76200</xdr:colOff>
      <xdr:row>17</xdr:row>
      <xdr:rowOff>31173</xdr:rowOff>
    </xdr:to>
    <xdr:sp macro="" textlink="">
      <xdr:nvSpPr>
        <xdr:cNvPr id="14" name="TextBox 13"/>
        <xdr:cNvSpPr txBox="1"/>
      </xdr:nvSpPr>
      <xdr:spPr>
        <a:xfrm>
          <a:off x="14681007" y="2741469"/>
          <a:ext cx="8559993" cy="52820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r>
            <a:rPr lang="en-IN" sz="4000" b="1" cap="all" spc="0">
              <a:ln>
                <a:noFill/>
              </a:ln>
              <a:solidFill>
                <a:sysClr val="windowText" lastClr="000000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JOB DATABASE</a:t>
          </a:r>
        </a:p>
      </xdr:txBody>
    </xdr:sp>
    <xdr:clientData/>
  </xdr:twoCellAnchor>
  <xdr:twoCellAnchor>
    <xdr:from>
      <xdr:col>0</xdr:col>
      <xdr:colOff>466723</xdr:colOff>
      <xdr:row>69</xdr:row>
      <xdr:rowOff>57150</xdr:rowOff>
    </xdr:from>
    <xdr:to>
      <xdr:col>6</xdr:col>
      <xdr:colOff>257174</xdr:colOff>
      <xdr:row>79</xdr:row>
      <xdr:rowOff>95250</xdr:rowOff>
    </xdr:to>
    <xdr:sp macro="" textlink="">
      <xdr:nvSpPr>
        <xdr:cNvPr id="16" name="Rectangle 15"/>
        <xdr:cNvSpPr/>
      </xdr:nvSpPr>
      <xdr:spPr>
        <a:xfrm>
          <a:off x="466723" y="7486650"/>
          <a:ext cx="3448051" cy="19431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9525</xdr:colOff>
      <xdr:row>72</xdr:row>
      <xdr:rowOff>9525</xdr:rowOff>
    </xdr:from>
    <xdr:to>
      <xdr:col>1</xdr:col>
      <xdr:colOff>495300</xdr:colOff>
      <xdr:row>73</xdr:row>
      <xdr:rowOff>9525</xdr:rowOff>
    </xdr:to>
    <xdr:sp macro="" textlink="">
      <xdr:nvSpPr>
        <xdr:cNvPr id="17" name="Rectangle 16"/>
        <xdr:cNvSpPr/>
      </xdr:nvSpPr>
      <xdr:spPr>
        <a:xfrm>
          <a:off x="619125" y="8010525"/>
          <a:ext cx="485775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</xdr:col>
      <xdr:colOff>85725</xdr:colOff>
      <xdr:row>72</xdr:row>
      <xdr:rowOff>28574</xdr:rowOff>
    </xdr:from>
    <xdr:to>
      <xdr:col>3</xdr:col>
      <xdr:colOff>114300</xdr:colOff>
      <xdr:row>73</xdr:row>
      <xdr:rowOff>19049</xdr:rowOff>
    </xdr:to>
    <xdr:sp macro="" textlink="">
      <xdr:nvSpPr>
        <xdr:cNvPr id="18" name="Rectangle 17"/>
        <xdr:cNvSpPr/>
      </xdr:nvSpPr>
      <xdr:spPr>
        <a:xfrm>
          <a:off x="1304925" y="8029574"/>
          <a:ext cx="638175" cy="1809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3</xdr:col>
      <xdr:colOff>447675</xdr:colOff>
      <xdr:row>72</xdr:row>
      <xdr:rowOff>28575</xdr:rowOff>
    </xdr:from>
    <xdr:to>
      <xdr:col>4</xdr:col>
      <xdr:colOff>323850</xdr:colOff>
      <xdr:row>73</xdr:row>
      <xdr:rowOff>28575</xdr:rowOff>
    </xdr:to>
    <xdr:sp macro="" textlink="">
      <xdr:nvSpPr>
        <xdr:cNvPr id="19" name="Rectangle 18"/>
        <xdr:cNvSpPr/>
      </xdr:nvSpPr>
      <xdr:spPr>
        <a:xfrm>
          <a:off x="2276475" y="8029575"/>
          <a:ext cx="485775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5</xdr:col>
      <xdr:colOff>38100</xdr:colOff>
      <xdr:row>72</xdr:row>
      <xdr:rowOff>47625</xdr:rowOff>
    </xdr:from>
    <xdr:to>
      <xdr:col>5</xdr:col>
      <xdr:colOff>523875</xdr:colOff>
      <xdr:row>73</xdr:row>
      <xdr:rowOff>47625</xdr:rowOff>
    </xdr:to>
    <xdr:sp macro="" textlink="">
      <xdr:nvSpPr>
        <xdr:cNvPr id="20" name="Rectangle 19"/>
        <xdr:cNvSpPr/>
      </xdr:nvSpPr>
      <xdr:spPr>
        <a:xfrm>
          <a:off x="3086100" y="8048625"/>
          <a:ext cx="485775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oneCellAnchor>
    <xdr:from>
      <xdr:col>1</xdr:col>
      <xdr:colOff>19050</xdr:colOff>
      <xdr:row>70</xdr:row>
      <xdr:rowOff>142875</xdr:rowOff>
    </xdr:from>
    <xdr:ext cx="485261" cy="264560"/>
    <xdr:sp macro="" textlink="">
      <xdr:nvSpPr>
        <xdr:cNvPr id="21" name="TextBox 20"/>
        <xdr:cNvSpPr txBox="1"/>
      </xdr:nvSpPr>
      <xdr:spPr>
        <a:xfrm>
          <a:off x="628650" y="7762875"/>
          <a:ext cx="4852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P-NO</a:t>
          </a:r>
        </a:p>
      </xdr:txBody>
    </xdr:sp>
    <xdr:clientData/>
  </xdr:oneCellAnchor>
  <xdr:oneCellAnchor>
    <xdr:from>
      <xdr:col>1</xdr:col>
      <xdr:colOff>600075</xdr:colOff>
      <xdr:row>70</xdr:row>
      <xdr:rowOff>142875</xdr:rowOff>
    </xdr:from>
    <xdr:ext cx="743280" cy="264560"/>
    <xdr:sp macro="" textlink="">
      <xdr:nvSpPr>
        <xdr:cNvPr id="22" name="TextBox 21"/>
        <xdr:cNvSpPr txBox="1"/>
      </xdr:nvSpPr>
      <xdr:spPr>
        <a:xfrm>
          <a:off x="1209675" y="7762875"/>
          <a:ext cx="7432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REC DATE</a:t>
          </a:r>
        </a:p>
      </xdr:txBody>
    </xdr:sp>
    <xdr:clientData/>
  </xdr:oneCellAnchor>
  <xdr:oneCellAnchor>
    <xdr:from>
      <xdr:col>3</xdr:col>
      <xdr:colOff>428625</xdr:colOff>
      <xdr:row>70</xdr:row>
      <xdr:rowOff>142875</xdr:rowOff>
    </xdr:from>
    <xdr:ext cx="470513" cy="264560"/>
    <xdr:sp macro="" textlink="">
      <xdr:nvSpPr>
        <xdr:cNvPr id="23" name="TextBox 22"/>
        <xdr:cNvSpPr txBox="1"/>
      </xdr:nvSpPr>
      <xdr:spPr>
        <a:xfrm>
          <a:off x="2257425" y="7762875"/>
          <a:ext cx="4705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UNIT</a:t>
          </a:r>
        </a:p>
      </xdr:txBody>
    </xdr:sp>
    <xdr:clientData/>
  </xdr:oneCellAnchor>
  <xdr:oneCellAnchor>
    <xdr:from>
      <xdr:col>5</xdr:col>
      <xdr:colOff>19050</xdr:colOff>
      <xdr:row>70</xdr:row>
      <xdr:rowOff>171450</xdr:rowOff>
    </xdr:from>
    <xdr:ext cx="560795" cy="264560"/>
    <xdr:sp macro="" textlink="">
      <xdr:nvSpPr>
        <xdr:cNvPr id="24" name="TextBox 23"/>
        <xdr:cNvSpPr txBox="1"/>
      </xdr:nvSpPr>
      <xdr:spPr>
        <a:xfrm>
          <a:off x="3067050" y="7791450"/>
          <a:ext cx="56079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PHASE</a:t>
          </a:r>
        </a:p>
      </xdr:txBody>
    </xdr:sp>
    <xdr:clientData/>
  </xdr:oneCellAnchor>
  <xdr:twoCellAnchor>
    <xdr:from>
      <xdr:col>1</xdr:col>
      <xdr:colOff>38100</xdr:colOff>
      <xdr:row>74</xdr:row>
      <xdr:rowOff>161924</xdr:rowOff>
    </xdr:from>
    <xdr:to>
      <xdr:col>5</xdr:col>
      <xdr:colOff>485775</xdr:colOff>
      <xdr:row>75</xdr:row>
      <xdr:rowOff>171449</xdr:rowOff>
    </xdr:to>
    <xdr:sp macro="" textlink="">
      <xdr:nvSpPr>
        <xdr:cNvPr id="25" name="Rectangle 24"/>
        <xdr:cNvSpPr/>
      </xdr:nvSpPr>
      <xdr:spPr>
        <a:xfrm>
          <a:off x="647700" y="8543924"/>
          <a:ext cx="2886075" cy="2000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oneCellAnchor>
    <xdr:from>
      <xdr:col>1</xdr:col>
      <xdr:colOff>19050</xdr:colOff>
      <xdr:row>73</xdr:row>
      <xdr:rowOff>114300</xdr:rowOff>
    </xdr:from>
    <xdr:ext cx="485839" cy="264560"/>
    <xdr:sp macro="" textlink="">
      <xdr:nvSpPr>
        <xdr:cNvPr id="26" name="TextBox 25"/>
        <xdr:cNvSpPr txBox="1"/>
      </xdr:nvSpPr>
      <xdr:spPr>
        <a:xfrm>
          <a:off x="628650" y="8305800"/>
          <a:ext cx="4858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TITLE</a:t>
          </a:r>
        </a:p>
      </xdr:txBody>
    </xdr:sp>
    <xdr:clientData/>
  </xdr:oneCellAnchor>
  <xdr:twoCellAnchor>
    <xdr:from>
      <xdr:col>5</xdr:col>
      <xdr:colOff>9525</xdr:colOff>
      <xdr:row>77</xdr:row>
      <xdr:rowOff>19049</xdr:rowOff>
    </xdr:from>
    <xdr:to>
      <xdr:col>6</xdr:col>
      <xdr:colOff>66675</xdr:colOff>
      <xdr:row>79</xdr:row>
      <xdr:rowOff>28574</xdr:rowOff>
    </xdr:to>
    <xdr:sp macro="" textlink="">
      <xdr:nvSpPr>
        <xdr:cNvPr id="28" name="Rectangle 27"/>
        <xdr:cNvSpPr/>
      </xdr:nvSpPr>
      <xdr:spPr>
        <a:xfrm>
          <a:off x="3057525" y="8972549"/>
          <a:ext cx="666750" cy="3905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2</xdr:col>
      <xdr:colOff>0</xdr:colOff>
      <xdr:row>82</xdr:row>
      <xdr:rowOff>114300</xdr:rowOff>
    </xdr:from>
    <xdr:to>
      <xdr:col>4</xdr:col>
      <xdr:colOff>314325</xdr:colOff>
      <xdr:row>88</xdr:row>
      <xdr:rowOff>9525</xdr:rowOff>
    </xdr:to>
    <xdr:sp macro="" textlink="">
      <xdr:nvSpPr>
        <xdr:cNvPr id="29" name="Flowchart: Decision 28"/>
        <xdr:cNvSpPr/>
      </xdr:nvSpPr>
      <xdr:spPr>
        <a:xfrm>
          <a:off x="1219200" y="10020300"/>
          <a:ext cx="1533525" cy="1038225"/>
        </a:xfrm>
        <a:prstGeom prst="flowChartDecision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</a:t>
          </a:r>
        </a:p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P-NO =  TRUE</a:t>
          </a:r>
          <a:endParaRPr lang="en-IN" sz="1100"/>
        </a:p>
      </xdr:txBody>
    </xdr:sp>
    <xdr:clientData/>
  </xdr:twoCellAnchor>
  <xdr:twoCellAnchor>
    <xdr:from>
      <xdr:col>0</xdr:col>
      <xdr:colOff>390523</xdr:colOff>
      <xdr:row>89</xdr:row>
      <xdr:rowOff>123824</xdr:rowOff>
    </xdr:from>
    <xdr:to>
      <xdr:col>3</xdr:col>
      <xdr:colOff>76200</xdr:colOff>
      <xdr:row>94</xdr:row>
      <xdr:rowOff>9525</xdr:rowOff>
    </xdr:to>
    <xdr:sp macro="" textlink="">
      <xdr:nvSpPr>
        <xdr:cNvPr id="31" name="Rectangle 30"/>
        <xdr:cNvSpPr/>
      </xdr:nvSpPr>
      <xdr:spPr>
        <a:xfrm>
          <a:off x="390523" y="11363324"/>
          <a:ext cx="1514477" cy="83820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1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CREATE NEW WORKSHEET WITH NAME = PNO</a:t>
          </a:r>
        </a:p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3</xdr:col>
      <xdr:colOff>561973</xdr:colOff>
      <xdr:row>89</xdr:row>
      <xdr:rowOff>123824</xdr:rowOff>
    </xdr:from>
    <xdr:to>
      <xdr:col>6</xdr:col>
      <xdr:colOff>247650</xdr:colOff>
      <xdr:row>94</xdr:row>
      <xdr:rowOff>19050</xdr:rowOff>
    </xdr:to>
    <xdr:sp macro="" textlink="">
      <xdr:nvSpPr>
        <xdr:cNvPr id="32" name="Rectangle 31"/>
        <xdr:cNvSpPr/>
      </xdr:nvSpPr>
      <xdr:spPr>
        <a:xfrm>
          <a:off x="2390773" y="11363324"/>
          <a:ext cx="1514477" cy="847726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1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GO TO WORKSHEET  WITH NAME = PNO</a:t>
          </a:r>
        </a:p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95250</xdr:colOff>
      <xdr:row>100</xdr:row>
      <xdr:rowOff>28574</xdr:rowOff>
    </xdr:from>
    <xdr:to>
      <xdr:col>6</xdr:col>
      <xdr:colOff>219075</xdr:colOff>
      <xdr:row>115</xdr:row>
      <xdr:rowOff>76200</xdr:rowOff>
    </xdr:to>
    <xdr:sp macro="" textlink="">
      <xdr:nvSpPr>
        <xdr:cNvPr id="33" name="Rectangle 32"/>
        <xdr:cNvSpPr/>
      </xdr:nvSpPr>
      <xdr:spPr>
        <a:xfrm>
          <a:off x="704850" y="12792074"/>
          <a:ext cx="3171825" cy="2905126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333375</xdr:colOff>
      <xdr:row>105</xdr:row>
      <xdr:rowOff>171449</xdr:rowOff>
    </xdr:from>
    <xdr:to>
      <xdr:col>2</xdr:col>
      <xdr:colOff>333375</xdr:colOff>
      <xdr:row>107</xdr:row>
      <xdr:rowOff>47624</xdr:rowOff>
    </xdr:to>
    <xdr:sp macro="" textlink="">
      <xdr:nvSpPr>
        <xdr:cNvPr id="34" name="Rectangle 33"/>
        <xdr:cNvSpPr/>
      </xdr:nvSpPr>
      <xdr:spPr>
        <a:xfrm>
          <a:off x="942975" y="13887449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Y/N</a:t>
          </a:r>
        </a:p>
      </xdr:txBody>
    </xdr:sp>
    <xdr:clientData/>
  </xdr:twoCellAnchor>
  <xdr:twoCellAnchor>
    <xdr:from>
      <xdr:col>2</xdr:col>
      <xdr:colOff>38099</xdr:colOff>
      <xdr:row>101</xdr:row>
      <xdr:rowOff>114300</xdr:rowOff>
    </xdr:from>
    <xdr:to>
      <xdr:col>5</xdr:col>
      <xdr:colOff>581024</xdr:colOff>
      <xdr:row>102</xdr:row>
      <xdr:rowOff>133350</xdr:rowOff>
    </xdr:to>
    <xdr:sp macro="" textlink="">
      <xdr:nvSpPr>
        <xdr:cNvPr id="35" name="TextBox 34"/>
        <xdr:cNvSpPr txBox="1"/>
      </xdr:nvSpPr>
      <xdr:spPr>
        <a:xfrm>
          <a:off x="1257299" y="13068300"/>
          <a:ext cx="23717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r>
            <a:rPr lang="en-IN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INTER DEPT COMMUNICATION</a:t>
          </a:r>
        </a:p>
      </xdr:txBody>
    </xdr:sp>
    <xdr:clientData/>
  </xdr:twoCellAnchor>
  <xdr:twoCellAnchor>
    <xdr:from>
      <xdr:col>1</xdr:col>
      <xdr:colOff>342900</xdr:colOff>
      <xdr:row>104</xdr:row>
      <xdr:rowOff>123825</xdr:rowOff>
    </xdr:from>
    <xdr:to>
      <xdr:col>2</xdr:col>
      <xdr:colOff>361950</xdr:colOff>
      <xdr:row>105</xdr:row>
      <xdr:rowOff>123825</xdr:rowOff>
    </xdr:to>
    <xdr:sp macro="" textlink="">
      <xdr:nvSpPr>
        <xdr:cNvPr id="36" name="TextBox 35"/>
        <xdr:cNvSpPr txBox="1"/>
      </xdr:nvSpPr>
      <xdr:spPr>
        <a:xfrm>
          <a:off x="952500" y="13649325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INSTRU</a:t>
          </a:r>
        </a:p>
      </xdr:txBody>
    </xdr:sp>
    <xdr:clientData/>
  </xdr:twoCellAnchor>
  <xdr:twoCellAnchor>
    <xdr:from>
      <xdr:col>3</xdr:col>
      <xdr:colOff>142875</xdr:colOff>
      <xdr:row>105</xdr:row>
      <xdr:rowOff>161924</xdr:rowOff>
    </xdr:from>
    <xdr:to>
      <xdr:col>4</xdr:col>
      <xdr:colOff>142875</xdr:colOff>
      <xdr:row>107</xdr:row>
      <xdr:rowOff>38099</xdr:rowOff>
    </xdr:to>
    <xdr:sp macro="" textlink="">
      <xdr:nvSpPr>
        <xdr:cNvPr id="37" name="Rectangle 36"/>
        <xdr:cNvSpPr/>
      </xdr:nvSpPr>
      <xdr:spPr>
        <a:xfrm>
          <a:off x="1971675" y="13877924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Y/N</a:t>
          </a:r>
        </a:p>
      </xdr:txBody>
    </xdr:sp>
    <xdr:clientData/>
  </xdr:twoCellAnchor>
  <xdr:twoCellAnchor>
    <xdr:from>
      <xdr:col>3</xdr:col>
      <xdr:colOff>257175</xdr:colOff>
      <xdr:row>104</xdr:row>
      <xdr:rowOff>95250</xdr:rowOff>
    </xdr:from>
    <xdr:to>
      <xdr:col>4</xdr:col>
      <xdr:colOff>276225</xdr:colOff>
      <xdr:row>105</xdr:row>
      <xdr:rowOff>95250</xdr:rowOff>
    </xdr:to>
    <xdr:sp macro="" textlink="">
      <xdr:nvSpPr>
        <xdr:cNvPr id="38" name="TextBox 37"/>
        <xdr:cNvSpPr txBox="1"/>
      </xdr:nvSpPr>
      <xdr:spPr>
        <a:xfrm>
          <a:off x="2085975" y="13620750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ELE</a:t>
          </a:r>
        </a:p>
      </xdr:txBody>
    </xdr:sp>
    <xdr:clientData/>
  </xdr:twoCellAnchor>
  <xdr:twoCellAnchor>
    <xdr:from>
      <xdr:col>4</xdr:col>
      <xdr:colOff>476250</xdr:colOff>
      <xdr:row>105</xdr:row>
      <xdr:rowOff>152399</xdr:rowOff>
    </xdr:from>
    <xdr:to>
      <xdr:col>5</xdr:col>
      <xdr:colOff>476250</xdr:colOff>
      <xdr:row>107</xdr:row>
      <xdr:rowOff>28574</xdr:rowOff>
    </xdr:to>
    <xdr:sp macro="" textlink="">
      <xdr:nvSpPr>
        <xdr:cNvPr id="39" name="Rectangle 38"/>
        <xdr:cNvSpPr/>
      </xdr:nvSpPr>
      <xdr:spPr>
        <a:xfrm>
          <a:off x="2914650" y="13868399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Y/N</a:t>
          </a:r>
        </a:p>
      </xdr:txBody>
    </xdr:sp>
    <xdr:clientData/>
  </xdr:twoCellAnchor>
  <xdr:twoCellAnchor>
    <xdr:from>
      <xdr:col>4</xdr:col>
      <xdr:colOff>514350</xdr:colOff>
      <xdr:row>104</xdr:row>
      <xdr:rowOff>95250</xdr:rowOff>
    </xdr:from>
    <xdr:to>
      <xdr:col>5</xdr:col>
      <xdr:colOff>533400</xdr:colOff>
      <xdr:row>105</xdr:row>
      <xdr:rowOff>95250</xdr:rowOff>
    </xdr:to>
    <xdr:sp macro="" textlink="">
      <xdr:nvSpPr>
        <xdr:cNvPr id="40" name="TextBox 39"/>
        <xdr:cNvSpPr txBox="1"/>
      </xdr:nvSpPr>
      <xdr:spPr>
        <a:xfrm>
          <a:off x="2952750" y="13620750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CIVIL</a:t>
          </a:r>
        </a:p>
      </xdr:txBody>
    </xdr:sp>
    <xdr:clientData/>
  </xdr:twoCellAnchor>
  <xdr:twoCellAnchor>
    <xdr:from>
      <xdr:col>1</xdr:col>
      <xdr:colOff>400050</xdr:colOff>
      <xdr:row>108</xdr:row>
      <xdr:rowOff>152400</xdr:rowOff>
    </xdr:from>
    <xdr:to>
      <xdr:col>2</xdr:col>
      <xdr:colOff>276225</xdr:colOff>
      <xdr:row>110</xdr:row>
      <xdr:rowOff>133350</xdr:rowOff>
    </xdr:to>
    <xdr:sp macro="" textlink="">
      <xdr:nvSpPr>
        <xdr:cNvPr id="41" name="Rectangle 40"/>
        <xdr:cNvSpPr/>
      </xdr:nvSpPr>
      <xdr:spPr>
        <a:xfrm>
          <a:off x="1009650" y="14439900"/>
          <a:ext cx="485775" cy="3619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IOM</a:t>
          </a:r>
        </a:p>
      </xdr:txBody>
    </xdr:sp>
    <xdr:clientData/>
  </xdr:twoCellAnchor>
  <xdr:twoCellAnchor>
    <xdr:from>
      <xdr:col>3</xdr:col>
      <xdr:colOff>171450</xdr:colOff>
      <xdr:row>108</xdr:row>
      <xdr:rowOff>180975</xdr:rowOff>
    </xdr:from>
    <xdr:to>
      <xdr:col>4</xdr:col>
      <xdr:colOff>47625</xdr:colOff>
      <xdr:row>110</xdr:row>
      <xdr:rowOff>161925</xdr:rowOff>
    </xdr:to>
    <xdr:sp macro="" textlink="">
      <xdr:nvSpPr>
        <xdr:cNvPr id="42" name="Rectangle 41"/>
        <xdr:cNvSpPr/>
      </xdr:nvSpPr>
      <xdr:spPr>
        <a:xfrm>
          <a:off x="2000250" y="14468475"/>
          <a:ext cx="485775" cy="3619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IOM</a:t>
          </a:r>
        </a:p>
      </xdr:txBody>
    </xdr:sp>
    <xdr:clientData/>
  </xdr:twoCellAnchor>
  <xdr:twoCellAnchor>
    <xdr:from>
      <xdr:col>4</xdr:col>
      <xdr:colOff>542925</xdr:colOff>
      <xdr:row>108</xdr:row>
      <xdr:rowOff>171450</xdr:rowOff>
    </xdr:from>
    <xdr:to>
      <xdr:col>5</xdr:col>
      <xdr:colOff>419100</xdr:colOff>
      <xdr:row>110</xdr:row>
      <xdr:rowOff>152400</xdr:rowOff>
    </xdr:to>
    <xdr:sp macro="" textlink="">
      <xdr:nvSpPr>
        <xdr:cNvPr id="43" name="Rectangle 42"/>
        <xdr:cNvSpPr/>
      </xdr:nvSpPr>
      <xdr:spPr>
        <a:xfrm>
          <a:off x="2981325" y="14458950"/>
          <a:ext cx="485775" cy="3619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IOM</a:t>
          </a:r>
        </a:p>
      </xdr:txBody>
    </xdr:sp>
    <xdr:clientData/>
  </xdr:twoCellAnchor>
  <xdr:twoCellAnchor>
    <xdr:from>
      <xdr:col>1</xdr:col>
      <xdr:colOff>285750</xdr:colOff>
      <xdr:row>112</xdr:row>
      <xdr:rowOff>180974</xdr:rowOff>
    </xdr:from>
    <xdr:to>
      <xdr:col>2</xdr:col>
      <xdr:colOff>285750</xdr:colOff>
      <xdr:row>114</xdr:row>
      <xdr:rowOff>57149</xdr:rowOff>
    </xdr:to>
    <xdr:sp macro="" textlink="">
      <xdr:nvSpPr>
        <xdr:cNvPr id="44" name="Rectangle 43"/>
        <xdr:cNvSpPr/>
      </xdr:nvSpPr>
      <xdr:spPr>
        <a:xfrm>
          <a:off x="895350" y="15230474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295275</xdr:colOff>
      <xdr:row>111</xdr:row>
      <xdr:rowOff>104775</xdr:rowOff>
    </xdr:from>
    <xdr:to>
      <xdr:col>2</xdr:col>
      <xdr:colOff>314325</xdr:colOff>
      <xdr:row>112</xdr:row>
      <xdr:rowOff>104775</xdr:rowOff>
    </xdr:to>
    <xdr:sp macro="" textlink="">
      <xdr:nvSpPr>
        <xdr:cNvPr id="45" name="TextBox 44"/>
        <xdr:cNvSpPr txBox="1"/>
      </xdr:nvSpPr>
      <xdr:spPr>
        <a:xfrm>
          <a:off x="904875" y="14963775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COST</a:t>
          </a:r>
        </a:p>
      </xdr:txBody>
    </xdr:sp>
    <xdr:clientData/>
  </xdr:twoCellAnchor>
  <xdr:twoCellAnchor>
    <xdr:from>
      <xdr:col>3</xdr:col>
      <xdr:colOff>123825</xdr:colOff>
      <xdr:row>112</xdr:row>
      <xdr:rowOff>161924</xdr:rowOff>
    </xdr:from>
    <xdr:to>
      <xdr:col>4</xdr:col>
      <xdr:colOff>123825</xdr:colOff>
      <xdr:row>114</xdr:row>
      <xdr:rowOff>38099</xdr:rowOff>
    </xdr:to>
    <xdr:sp macro="" textlink="">
      <xdr:nvSpPr>
        <xdr:cNvPr id="46" name="Rectangle 45"/>
        <xdr:cNvSpPr/>
      </xdr:nvSpPr>
      <xdr:spPr>
        <a:xfrm>
          <a:off x="1952625" y="15211424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133350</xdr:colOff>
      <xdr:row>111</xdr:row>
      <xdr:rowOff>85725</xdr:rowOff>
    </xdr:from>
    <xdr:to>
      <xdr:col>4</xdr:col>
      <xdr:colOff>152400</xdr:colOff>
      <xdr:row>112</xdr:row>
      <xdr:rowOff>85725</xdr:rowOff>
    </xdr:to>
    <xdr:sp macro="" textlink="">
      <xdr:nvSpPr>
        <xdr:cNvPr id="47" name="TextBox 46"/>
        <xdr:cNvSpPr txBox="1"/>
      </xdr:nvSpPr>
      <xdr:spPr>
        <a:xfrm>
          <a:off x="1962150" y="14944725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COST</a:t>
          </a:r>
        </a:p>
      </xdr:txBody>
    </xdr:sp>
    <xdr:clientData/>
  </xdr:twoCellAnchor>
  <xdr:twoCellAnchor>
    <xdr:from>
      <xdr:col>4</xdr:col>
      <xdr:colOff>523875</xdr:colOff>
      <xdr:row>112</xdr:row>
      <xdr:rowOff>190499</xdr:rowOff>
    </xdr:from>
    <xdr:to>
      <xdr:col>5</xdr:col>
      <xdr:colOff>523875</xdr:colOff>
      <xdr:row>114</xdr:row>
      <xdr:rowOff>66674</xdr:rowOff>
    </xdr:to>
    <xdr:sp macro="" textlink="">
      <xdr:nvSpPr>
        <xdr:cNvPr id="48" name="Rectangle 47"/>
        <xdr:cNvSpPr/>
      </xdr:nvSpPr>
      <xdr:spPr>
        <a:xfrm>
          <a:off x="2962275" y="15239999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533400</xdr:colOff>
      <xdr:row>111</xdr:row>
      <xdr:rowOff>114300</xdr:rowOff>
    </xdr:from>
    <xdr:to>
      <xdr:col>5</xdr:col>
      <xdr:colOff>552450</xdr:colOff>
      <xdr:row>112</xdr:row>
      <xdr:rowOff>114300</xdr:rowOff>
    </xdr:to>
    <xdr:sp macro="" textlink="">
      <xdr:nvSpPr>
        <xdr:cNvPr id="49" name="TextBox 48"/>
        <xdr:cNvSpPr txBox="1"/>
      </xdr:nvSpPr>
      <xdr:spPr>
        <a:xfrm>
          <a:off x="2971800" y="14973300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COST</a:t>
          </a:r>
        </a:p>
      </xdr:txBody>
    </xdr:sp>
    <xdr:clientData/>
  </xdr:twoCellAnchor>
  <xdr:twoCellAnchor>
    <xdr:from>
      <xdr:col>1</xdr:col>
      <xdr:colOff>324975</xdr:colOff>
      <xdr:row>119</xdr:row>
      <xdr:rowOff>104775</xdr:rowOff>
    </xdr:from>
    <xdr:to>
      <xdr:col>6</xdr:col>
      <xdr:colOff>43707</xdr:colOff>
      <xdr:row>132</xdr:row>
      <xdr:rowOff>9525</xdr:rowOff>
    </xdr:to>
    <xdr:sp macro="" textlink="">
      <xdr:nvSpPr>
        <xdr:cNvPr id="50" name="Rectangle 49"/>
        <xdr:cNvSpPr/>
      </xdr:nvSpPr>
      <xdr:spPr>
        <a:xfrm>
          <a:off x="930093" y="17059275"/>
          <a:ext cx="2744320" cy="238125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3</xdr:col>
      <xdr:colOff>212355</xdr:colOff>
      <xdr:row>122</xdr:row>
      <xdr:rowOff>142874</xdr:rowOff>
    </xdr:from>
    <xdr:to>
      <xdr:col>4</xdr:col>
      <xdr:colOff>212355</xdr:colOff>
      <xdr:row>124</xdr:row>
      <xdr:rowOff>19049</xdr:rowOff>
    </xdr:to>
    <xdr:sp macro="" textlink="">
      <xdr:nvSpPr>
        <xdr:cNvPr id="51" name="Rectangle 50"/>
        <xdr:cNvSpPr/>
      </xdr:nvSpPr>
      <xdr:spPr>
        <a:xfrm>
          <a:off x="2027708" y="17668874"/>
          <a:ext cx="605118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DATE</a:t>
          </a:r>
        </a:p>
      </xdr:txBody>
    </xdr:sp>
    <xdr:clientData/>
  </xdr:twoCellAnchor>
  <xdr:twoCellAnchor>
    <xdr:from>
      <xdr:col>3</xdr:col>
      <xdr:colOff>126630</xdr:colOff>
      <xdr:row>121</xdr:row>
      <xdr:rowOff>85725</xdr:rowOff>
    </xdr:from>
    <xdr:to>
      <xdr:col>4</xdr:col>
      <xdr:colOff>465048</xdr:colOff>
      <xdr:row>122</xdr:row>
      <xdr:rowOff>66675</xdr:rowOff>
    </xdr:to>
    <xdr:sp macro="" textlink="">
      <xdr:nvSpPr>
        <xdr:cNvPr id="52" name="TextBox 51"/>
        <xdr:cNvSpPr txBox="1"/>
      </xdr:nvSpPr>
      <xdr:spPr>
        <a:xfrm>
          <a:off x="1941983" y="17421225"/>
          <a:ext cx="94353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SITE VISIT</a:t>
          </a:r>
        </a:p>
      </xdr:txBody>
    </xdr:sp>
    <xdr:clientData/>
  </xdr:twoCellAnchor>
  <xdr:twoCellAnchor>
    <xdr:from>
      <xdr:col>2</xdr:col>
      <xdr:colOff>279030</xdr:colOff>
      <xdr:row>120</xdr:row>
      <xdr:rowOff>28575</xdr:rowOff>
    </xdr:from>
    <xdr:to>
      <xdr:col>6</xdr:col>
      <xdr:colOff>212354</xdr:colOff>
      <xdr:row>121</xdr:row>
      <xdr:rowOff>47625</xdr:rowOff>
    </xdr:to>
    <xdr:sp macro="" textlink="">
      <xdr:nvSpPr>
        <xdr:cNvPr id="53" name="TextBox 52"/>
        <xdr:cNvSpPr txBox="1"/>
      </xdr:nvSpPr>
      <xdr:spPr>
        <a:xfrm>
          <a:off x="1489265" y="17173575"/>
          <a:ext cx="235379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r>
            <a:rPr lang="en-IN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MATERIAL REQUIREMENT</a:t>
          </a:r>
        </a:p>
      </xdr:txBody>
    </xdr:sp>
    <xdr:clientData/>
  </xdr:twoCellAnchor>
  <xdr:twoCellAnchor>
    <xdr:from>
      <xdr:col>2</xdr:col>
      <xdr:colOff>503148</xdr:colOff>
      <xdr:row>125</xdr:row>
      <xdr:rowOff>76200</xdr:rowOff>
    </xdr:from>
    <xdr:to>
      <xdr:col>5</xdr:col>
      <xdr:colOff>50431</xdr:colOff>
      <xdr:row>127</xdr:row>
      <xdr:rowOff>95250</xdr:rowOff>
    </xdr:to>
    <xdr:sp macro="" textlink="">
      <xdr:nvSpPr>
        <xdr:cNvPr id="54" name="Rectangle 53"/>
        <xdr:cNvSpPr/>
      </xdr:nvSpPr>
      <xdr:spPr>
        <a:xfrm>
          <a:off x="1713383" y="18173700"/>
          <a:ext cx="1362636" cy="4000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ENTER MAT DATA</a:t>
          </a:r>
        </a:p>
      </xdr:txBody>
    </xdr:sp>
    <xdr:clientData/>
  </xdr:twoCellAnchor>
  <xdr:twoCellAnchor>
    <xdr:from>
      <xdr:col>6</xdr:col>
      <xdr:colOff>563099</xdr:colOff>
      <xdr:row>120</xdr:row>
      <xdr:rowOff>142874</xdr:rowOff>
    </xdr:from>
    <xdr:to>
      <xdr:col>15</xdr:col>
      <xdr:colOff>477374</xdr:colOff>
      <xdr:row>129</xdr:row>
      <xdr:rowOff>57149</xdr:rowOff>
    </xdr:to>
    <xdr:sp macro="" textlink="">
      <xdr:nvSpPr>
        <xdr:cNvPr id="55" name="Rectangle 54"/>
        <xdr:cNvSpPr/>
      </xdr:nvSpPr>
      <xdr:spPr>
        <a:xfrm>
          <a:off x="4193805" y="17287874"/>
          <a:ext cx="5360334" cy="16287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7</xdr:col>
      <xdr:colOff>126630</xdr:colOff>
      <xdr:row>122</xdr:row>
      <xdr:rowOff>152400</xdr:rowOff>
    </xdr:from>
    <xdr:to>
      <xdr:col>8</xdr:col>
      <xdr:colOff>326656</xdr:colOff>
      <xdr:row>123</xdr:row>
      <xdr:rowOff>161926</xdr:rowOff>
    </xdr:to>
    <xdr:sp macro="" textlink="">
      <xdr:nvSpPr>
        <xdr:cNvPr id="56" name="TextBox 55"/>
        <xdr:cNvSpPr txBox="1"/>
      </xdr:nvSpPr>
      <xdr:spPr>
        <a:xfrm>
          <a:off x="4362454" y="17678400"/>
          <a:ext cx="805143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ITEM ID</a:t>
          </a:r>
        </a:p>
      </xdr:txBody>
    </xdr:sp>
    <xdr:clientData/>
  </xdr:twoCellAnchor>
  <xdr:twoCellAnchor>
    <xdr:from>
      <xdr:col>8</xdr:col>
      <xdr:colOff>512673</xdr:colOff>
      <xdr:row>122</xdr:row>
      <xdr:rowOff>161925</xdr:rowOff>
    </xdr:from>
    <xdr:to>
      <xdr:col>10</xdr:col>
      <xdr:colOff>107581</xdr:colOff>
      <xdr:row>123</xdr:row>
      <xdr:rowOff>171451</xdr:rowOff>
    </xdr:to>
    <xdr:sp macro="" textlink="">
      <xdr:nvSpPr>
        <xdr:cNvPr id="57" name="TextBox 56"/>
        <xdr:cNvSpPr txBox="1"/>
      </xdr:nvSpPr>
      <xdr:spPr>
        <a:xfrm>
          <a:off x="5353614" y="17687925"/>
          <a:ext cx="805143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DESCRIPT</a:t>
          </a:r>
        </a:p>
      </xdr:txBody>
    </xdr:sp>
    <xdr:clientData/>
  </xdr:twoCellAnchor>
  <xdr:twoCellAnchor>
    <xdr:from>
      <xdr:col>10</xdr:col>
      <xdr:colOff>345706</xdr:colOff>
      <xdr:row>122</xdr:row>
      <xdr:rowOff>161925</xdr:rowOff>
    </xdr:from>
    <xdr:to>
      <xdr:col>11</xdr:col>
      <xdr:colOff>541248</xdr:colOff>
      <xdr:row>123</xdr:row>
      <xdr:rowOff>171451</xdr:rowOff>
    </xdr:to>
    <xdr:sp macro="" textlink="">
      <xdr:nvSpPr>
        <xdr:cNvPr id="58" name="TextBox 57"/>
        <xdr:cNvSpPr txBox="1"/>
      </xdr:nvSpPr>
      <xdr:spPr>
        <a:xfrm>
          <a:off x="6396882" y="17687925"/>
          <a:ext cx="80066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REQ QTY</a:t>
          </a:r>
        </a:p>
      </xdr:txBody>
    </xdr:sp>
    <xdr:clientData/>
  </xdr:twoCellAnchor>
  <xdr:twoCellAnchor>
    <xdr:from>
      <xdr:col>12</xdr:col>
      <xdr:colOff>202830</xdr:colOff>
      <xdr:row>122</xdr:row>
      <xdr:rowOff>180975</xdr:rowOff>
    </xdr:from>
    <xdr:to>
      <xdr:col>13</xdr:col>
      <xdr:colOff>417423</xdr:colOff>
      <xdr:row>124</xdr:row>
      <xdr:rowOff>1</xdr:rowOff>
    </xdr:to>
    <xdr:sp macro="" textlink="">
      <xdr:nvSpPr>
        <xdr:cNvPr id="59" name="TextBox 58"/>
        <xdr:cNvSpPr txBox="1"/>
      </xdr:nvSpPr>
      <xdr:spPr>
        <a:xfrm>
          <a:off x="7464242" y="17706975"/>
          <a:ext cx="81971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COST</a:t>
          </a:r>
        </a:p>
      </xdr:txBody>
    </xdr:sp>
    <xdr:clientData/>
  </xdr:twoCellAnchor>
  <xdr:twoCellAnchor>
    <xdr:from>
      <xdr:col>13</xdr:col>
      <xdr:colOff>598398</xdr:colOff>
      <xdr:row>123</xdr:row>
      <xdr:rowOff>0</xdr:rowOff>
    </xdr:from>
    <xdr:to>
      <xdr:col>15</xdr:col>
      <xdr:colOff>212355</xdr:colOff>
      <xdr:row>124</xdr:row>
      <xdr:rowOff>9526</xdr:rowOff>
    </xdr:to>
    <xdr:sp macro="" textlink="">
      <xdr:nvSpPr>
        <xdr:cNvPr id="60" name="TextBox 59"/>
        <xdr:cNvSpPr txBox="1"/>
      </xdr:nvSpPr>
      <xdr:spPr>
        <a:xfrm>
          <a:off x="8464927" y="17716500"/>
          <a:ext cx="824193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YEAR</a:t>
          </a:r>
        </a:p>
      </xdr:txBody>
    </xdr:sp>
    <xdr:clientData/>
  </xdr:twoCellAnchor>
  <xdr:twoCellAnchor>
    <xdr:from>
      <xdr:col>7</xdr:col>
      <xdr:colOff>240930</xdr:colOff>
      <xdr:row>124</xdr:row>
      <xdr:rowOff>76199</xdr:rowOff>
    </xdr:from>
    <xdr:to>
      <xdr:col>8</xdr:col>
      <xdr:colOff>240931</xdr:colOff>
      <xdr:row>125</xdr:row>
      <xdr:rowOff>142874</xdr:rowOff>
    </xdr:to>
    <xdr:sp macro="" textlink="">
      <xdr:nvSpPr>
        <xdr:cNvPr id="61" name="Rectangle 60"/>
        <xdr:cNvSpPr/>
      </xdr:nvSpPr>
      <xdr:spPr>
        <a:xfrm>
          <a:off x="4476754" y="17983199"/>
          <a:ext cx="605118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21855</xdr:colOff>
      <xdr:row>124</xdr:row>
      <xdr:rowOff>76199</xdr:rowOff>
    </xdr:from>
    <xdr:to>
      <xdr:col>10</xdr:col>
      <xdr:colOff>21856</xdr:colOff>
      <xdr:row>125</xdr:row>
      <xdr:rowOff>142874</xdr:rowOff>
    </xdr:to>
    <xdr:sp macro="" textlink="">
      <xdr:nvSpPr>
        <xdr:cNvPr id="62" name="Rectangle 61"/>
        <xdr:cNvSpPr/>
      </xdr:nvSpPr>
      <xdr:spPr>
        <a:xfrm>
          <a:off x="5467914" y="17983199"/>
          <a:ext cx="605118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455523</xdr:colOff>
      <xdr:row>124</xdr:row>
      <xdr:rowOff>76199</xdr:rowOff>
    </xdr:from>
    <xdr:to>
      <xdr:col>11</xdr:col>
      <xdr:colOff>455523</xdr:colOff>
      <xdr:row>125</xdr:row>
      <xdr:rowOff>142874</xdr:rowOff>
    </xdr:to>
    <xdr:sp macro="" textlink="">
      <xdr:nvSpPr>
        <xdr:cNvPr id="63" name="Rectangle 62"/>
        <xdr:cNvSpPr/>
      </xdr:nvSpPr>
      <xdr:spPr>
        <a:xfrm>
          <a:off x="6506699" y="17983199"/>
          <a:ext cx="605118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336180</xdr:colOff>
      <xdr:row>124</xdr:row>
      <xdr:rowOff>76199</xdr:rowOff>
    </xdr:from>
    <xdr:to>
      <xdr:col>13</xdr:col>
      <xdr:colOff>336181</xdr:colOff>
      <xdr:row>125</xdr:row>
      <xdr:rowOff>142874</xdr:rowOff>
    </xdr:to>
    <xdr:sp macro="" textlink="">
      <xdr:nvSpPr>
        <xdr:cNvPr id="64" name="Rectangle 63"/>
        <xdr:cNvSpPr/>
      </xdr:nvSpPr>
      <xdr:spPr>
        <a:xfrm>
          <a:off x="7597592" y="17983199"/>
          <a:ext cx="605118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98055</xdr:colOff>
      <xdr:row>124</xdr:row>
      <xdr:rowOff>76199</xdr:rowOff>
    </xdr:from>
    <xdr:to>
      <xdr:col>15</xdr:col>
      <xdr:colOff>98055</xdr:colOff>
      <xdr:row>125</xdr:row>
      <xdr:rowOff>142874</xdr:rowOff>
    </xdr:to>
    <xdr:sp macro="" textlink="">
      <xdr:nvSpPr>
        <xdr:cNvPr id="65" name="Rectangle 64"/>
        <xdr:cNvSpPr/>
      </xdr:nvSpPr>
      <xdr:spPr>
        <a:xfrm>
          <a:off x="8569702" y="17983199"/>
          <a:ext cx="605118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79005</xdr:colOff>
      <xdr:row>126</xdr:row>
      <xdr:rowOff>180974</xdr:rowOff>
    </xdr:from>
    <xdr:to>
      <xdr:col>15</xdr:col>
      <xdr:colOff>136155</xdr:colOff>
      <xdr:row>128</xdr:row>
      <xdr:rowOff>190499</xdr:rowOff>
    </xdr:to>
    <xdr:sp macro="" textlink="">
      <xdr:nvSpPr>
        <xdr:cNvPr id="66" name="Rectangle 65"/>
        <xdr:cNvSpPr/>
      </xdr:nvSpPr>
      <xdr:spPr>
        <a:xfrm>
          <a:off x="8550652" y="18468974"/>
          <a:ext cx="662268" cy="3905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10</xdr:col>
      <xdr:colOff>326656</xdr:colOff>
      <xdr:row>134</xdr:row>
      <xdr:rowOff>76200</xdr:rowOff>
    </xdr:from>
    <xdr:to>
      <xdr:col>13</xdr:col>
      <xdr:colOff>31381</xdr:colOff>
      <xdr:row>139</xdr:row>
      <xdr:rowOff>161925</xdr:rowOff>
    </xdr:to>
    <xdr:sp macro="" textlink="">
      <xdr:nvSpPr>
        <xdr:cNvPr id="67" name="Flowchart: Decision 66"/>
        <xdr:cNvSpPr/>
      </xdr:nvSpPr>
      <xdr:spPr>
        <a:xfrm>
          <a:off x="6377832" y="19888200"/>
          <a:ext cx="1520078" cy="1038225"/>
        </a:xfrm>
        <a:prstGeom prst="flowChartDecision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</a:t>
          </a:r>
        </a:p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ADD</a:t>
          </a:r>
          <a:r>
            <a:rPr lang="en-IN" sz="1100" b="1" baseline="0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 ROW </a:t>
          </a:r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=  TRUE</a:t>
          </a:r>
          <a:endParaRPr lang="en-IN" sz="1100"/>
        </a:p>
      </xdr:txBody>
    </xdr:sp>
    <xdr:clientData/>
  </xdr:twoCellAnchor>
  <xdr:twoCellAnchor>
    <xdr:from>
      <xdr:col>10</xdr:col>
      <xdr:colOff>288556</xdr:colOff>
      <xdr:row>131</xdr:row>
      <xdr:rowOff>19050</xdr:rowOff>
    </xdr:from>
    <xdr:to>
      <xdr:col>12</xdr:col>
      <xdr:colOff>436473</xdr:colOff>
      <xdr:row>133</xdr:row>
      <xdr:rowOff>38100</xdr:rowOff>
    </xdr:to>
    <xdr:sp macro="" textlink="">
      <xdr:nvSpPr>
        <xdr:cNvPr id="68" name="Rectangle 67"/>
        <xdr:cNvSpPr/>
      </xdr:nvSpPr>
      <xdr:spPr>
        <a:xfrm>
          <a:off x="6339732" y="19259550"/>
          <a:ext cx="1358153" cy="4000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ADD ROW </a:t>
          </a:r>
        </a:p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Y/N</a:t>
          </a:r>
        </a:p>
      </xdr:txBody>
    </xdr:sp>
    <xdr:clientData/>
  </xdr:twoCellAnchor>
  <xdr:twoCellAnchor>
    <xdr:from>
      <xdr:col>2</xdr:col>
      <xdr:colOff>484098</xdr:colOff>
      <xdr:row>128</xdr:row>
      <xdr:rowOff>85725</xdr:rowOff>
    </xdr:from>
    <xdr:to>
      <xdr:col>5</xdr:col>
      <xdr:colOff>31381</xdr:colOff>
      <xdr:row>130</xdr:row>
      <xdr:rowOff>104775</xdr:rowOff>
    </xdr:to>
    <xdr:sp macro="" textlink="">
      <xdr:nvSpPr>
        <xdr:cNvPr id="69" name="Rectangle 68"/>
        <xdr:cNvSpPr/>
      </xdr:nvSpPr>
      <xdr:spPr>
        <a:xfrm>
          <a:off x="1694333" y="18754725"/>
          <a:ext cx="1362636" cy="4000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EDIT MAT DATA</a:t>
          </a:r>
        </a:p>
      </xdr:txBody>
    </xdr:sp>
    <xdr:clientData/>
  </xdr:twoCellAnchor>
  <xdr:twoCellAnchor>
    <xdr:from>
      <xdr:col>1</xdr:col>
      <xdr:colOff>19051</xdr:colOff>
      <xdr:row>140</xdr:row>
      <xdr:rowOff>28575</xdr:rowOff>
    </xdr:from>
    <xdr:to>
      <xdr:col>5</xdr:col>
      <xdr:colOff>342901</xdr:colOff>
      <xdr:row>151</xdr:row>
      <xdr:rowOff>114300</xdr:rowOff>
    </xdr:to>
    <xdr:sp macro="" textlink="">
      <xdr:nvSpPr>
        <xdr:cNvPr id="70" name="Rectangle 69"/>
        <xdr:cNvSpPr/>
      </xdr:nvSpPr>
      <xdr:spPr>
        <a:xfrm>
          <a:off x="628651" y="26698575"/>
          <a:ext cx="2762250" cy="2181225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2</xdr:col>
      <xdr:colOff>285750</xdr:colOff>
      <xdr:row>141</xdr:row>
      <xdr:rowOff>123825</xdr:rowOff>
    </xdr:from>
    <xdr:to>
      <xdr:col>4</xdr:col>
      <xdr:colOff>390526</xdr:colOff>
      <xdr:row>142</xdr:row>
      <xdr:rowOff>114300</xdr:rowOff>
    </xdr:to>
    <xdr:sp macro="" textlink="">
      <xdr:nvSpPr>
        <xdr:cNvPr id="71" name="TextBox 70"/>
        <xdr:cNvSpPr txBox="1"/>
      </xdr:nvSpPr>
      <xdr:spPr>
        <a:xfrm>
          <a:off x="1504950" y="20697825"/>
          <a:ext cx="1323976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r>
            <a:rPr lang="en-IN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EQUIPMENT</a:t>
          </a:r>
        </a:p>
      </xdr:txBody>
    </xdr:sp>
    <xdr:clientData/>
  </xdr:twoCellAnchor>
  <xdr:twoCellAnchor>
    <xdr:from>
      <xdr:col>1</xdr:col>
      <xdr:colOff>85725</xdr:colOff>
      <xdr:row>143</xdr:row>
      <xdr:rowOff>161925</xdr:rowOff>
    </xdr:from>
    <xdr:to>
      <xdr:col>2</xdr:col>
      <xdr:colOff>285750</xdr:colOff>
      <xdr:row>144</xdr:row>
      <xdr:rowOff>171451</xdr:rowOff>
    </xdr:to>
    <xdr:sp macro="" textlink="">
      <xdr:nvSpPr>
        <xdr:cNvPr id="72" name="TextBox 71"/>
        <xdr:cNvSpPr txBox="1"/>
      </xdr:nvSpPr>
      <xdr:spPr>
        <a:xfrm>
          <a:off x="695325" y="21116925"/>
          <a:ext cx="809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STATIC</a:t>
          </a:r>
        </a:p>
      </xdr:txBody>
    </xdr:sp>
    <xdr:clientData/>
  </xdr:twoCellAnchor>
  <xdr:twoCellAnchor>
    <xdr:from>
      <xdr:col>1</xdr:col>
      <xdr:colOff>200025</xdr:colOff>
      <xdr:row>145</xdr:row>
      <xdr:rowOff>85724</xdr:rowOff>
    </xdr:from>
    <xdr:to>
      <xdr:col>2</xdr:col>
      <xdr:colOff>238125</xdr:colOff>
      <xdr:row>146</xdr:row>
      <xdr:rowOff>152399</xdr:rowOff>
    </xdr:to>
    <xdr:sp macro="" textlink="">
      <xdr:nvSpPr>
        <xdr:cNvPr id="73" name="Rectangle 72"/>
        <xdr:cNvSpPr/>
      </xdr:nvSpPr>
      <xdr:spPr>
        <a:xfrm>
          <a:off x="809625" y="21421724"/>
          <a:ext cx="6477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QOT DT</a:t>
          </a:r>
        </a:p>
      </xdr:txBody>
    </xdr:sp>
    <xdr:clientData/>
  </xdr:twoCellAnchor>
  <xdr:twoCellAnchor>
    <xdr:from>
      <xdr:col>3</xdr:col>
      <xdr:colOff>314325</xdr:colOff>
      <xdr:row>143</xdr:row>
      <xdr:rowOff>161925</xdr:rowOff>
    </xdr:from>
    <xdr:to>
      <xdr:col>4</xdr:col>
      <xdr:colOff>514350</xdr:colOff>
      <xdr:row>144</xdr:row>
      <xdr:rowOff>171451</xdr:rowOff>
    </xdr:to>
    <xdr:sp macro="" textlink="">
      <xdr:nvSpPr>
        <xdr:cNvPr id="74" name="TextBox 73"/>
        <xdr:cNvSpPr txBox="1"/>
      </xdr:nvSpPr>
      <xdr:spPr>
        <a:xfrm>
          <a:off x="2143125" y="21116925"/>
          <a:ext cx="809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ROTARY</a:t>
          </a:r>
        </a:p>
      </xdr:txBody>
    </xdr:sp>
    <xdr:clientData/>
  </xdr:twoCellAnchor>
  <xdr:twoCellAnchor>
    <xdr:from>
      <xdr:col>3</xdr:col>
      <xdr:colOff>428625</xdr:colOff>
      <xdr:row>145</xdr:row>
      <xdr:rowOff>85724</xdr:rowOff>
    </xdr:from>
    <xdr:to>
      <xdr:col>4</xdr:col>
      <xdr:colOff>447675</xdr:colOff>
      <xdr:row>146</xdr:row>
      <xdr:rowOff>152399</xdr:rowOff>
    </xdr:to>
    <xdr:sp macro="" textlink="">
      <xdr:nvSpPr>
        <xdr:cNvPr id="75" name="Rectangle 74"/>
        <xdr:cNvSpPr/>
      </xdr:nvSpPr>
      <xdr:spPr>
        <a:xfrm>
          <a:off x="2257425" y="21421724"/>
          <a:ext cx="62865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QOT DT</a:t>
          </a:r>
        </a:p>
      </xdr:txBody>
    </xdr:sp>
    <xdr:clientData/>
  </xdr:twoCellAnchor>
  <xdr:twoCellAnchor>
    <xdr:from>
      <xdr:col>1</xdr:col>
      <xdr:colOff>200025</xdr:colOff>
      <xdr:row>148</xdr:row>
      <xdr:rowOff>28574</xdr:rowOff>
    </xdr:from>
    <xdr:to>
      <xdr:col>2</xdr:col>
      <xdr:colOff>238125</xdr:colOff>
      <xdr:row>149</xdr:row>
      <xdr:rowOff>95249</xdr:rowOff>
    </xdr:to>
    <xdr:sp macro="" textlink="">
      <xdr:nvSpPr>
        <xdr:cNvPr id="76" name="Rectangle 75"/>
        <xdr:cNvSpPr/>
      </xdr:nvSpPr>
      <xdr:spPr>
        <a:xfrm>
          <a:off x="809625" y="21936074"/>
          <a:ext cx="6477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COST</a:t>
          </a:r>
        </a:p>
      </xdr:txBody>
    </xdr:sp>
    <xdr:clientData/>
  </xdr:twoCellAnchor>
  <xdr:twoCellAnchor>
    <xdr:from>
      <xdr:col>3</xdr:col>
      <xdr:colOff>428625</xdr:colOff>
      <xdr:row>148</xdr:row>
      <xdr:rowOff>28574</xdr:rowOff>
    </xdr:from>
    <xdr:to>
      <xdr:col>4</xdr:col>
      <xdr:colOff>447675</xdr:colOff>
      <xdr:row>149</xdr:row>
      <xdr:rowOff>95249</xdr:rowOff>
    </xdr:to>
    <xdr:sp macro="" textlink="">
      <xdr:nvSpPr>
        <xdr:cNvPr id="77" name="Rectangle 76"/>
        <xdr:cNvSpPr/>
      </xdr:nvSpPr>
      <xdr:spPr>
        <a:xfrm>
          <a:off x="2257425" y="21936074"/>
          <a:ext cx="62865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COST</a:t>
          </a:r>
        </a:p>
      </xdr:txBody>
    </xdr:sp>
    <xdr:clientData/>
  </xdr:twoCellAnchor>
  <xdr:twoCellAnchor>
    <xdr:from>
      <xdr:col>0</xdr:col>
      <xdr:colOff>200025</xdr:colOff>
      <xdr:row>164</xdr:row>
      <xdr:rowOff>9524</xdr:rowOff>
    </xdr:from>
    <xdr:to>
      <xdr:col>6</xdr:col>
      <xdr:colOff>190500</xdr:colOff>
      <xdr:row>169</xdr:row>
      <xdr:rowOff>95249</xdr:rowOff>
    </xdr:to>
    <xdr:sp macro="" textlink="">
      <xdr:nvSpPr>
        <xdr:cNvPr id="78" name="Rectangle 77"/>
        <xdr:cNvSpPr/>
      </xdr:nvSpPr>
      <xdr:spPr>
        <a:xfrm>
          <a:off x="200025" y="23822024"/>
          <a:ext cx="3648075" cy="1038225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428625</xdr:colOff>
      <xdr:row>166</xdr:row>
      <xdr:rowOff>19049</xdr:rowOff>
    </xdr:from>
    <xdr:to>
      <xdr:col>0</xdr:col>
      <xdr:colOff>600074</xdr:colOff>
      <xdr:row>166</xdr:row>
      <xdr:rowOff>180974</xdr:rowOff>
    </xdr:to>
    <xdr:sp macro="" textlink="">
      <xdr:nvSpPr>
        <xdr:cNvPr id="79" name="Flowchart: Connector 78"/>
        <xdr:cNvSpPr/>
      </xdr:nvSpPr>
      <xdr:spPr>
        <a:xfrm>
          <a:off x="428625" y="24212549"/>
          <a:ext cx="171449" cy="161925"/>
        </a:xfrm>
        <a:prstGeom prst="flowChartConnector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</xdr:col>
      <xdr:colOff>28575</xdr:colOff>
      <xdr:row>165</xdr:row>
      <xdr:rowOff>171450</xdr:rowOff>
    </xdr:from>
    <xdr:to>
      <xdr:col>2</xdr:col>
      <xdr:colOff>533400</xdr:colOff>
      <xdr:row>167</xdr:row>
      <xdr:rowOff>9526</xdr:rowOff>
    </xdr:to>
    <xdr:sp macro="" textlink="">
      <xdr:nvSpPr>
        <xdr:cNvPr id="80" name="TextBox 79"/>
        <xdr:cNvSpPr txBox="1"/>
      </xdr:nvSpPr>
      <xdr:spPr>
        <a:xfrm>
          <a:off x="638175" y="24174450"/>
          <a:ext cx="1114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INCOMPLETE</a:t>
          </a:r>
        </a:p>
      </xdr:txBody>
    </xdr:sp>
    <xdr:clientData/>
  </xdr:twoCellAnchor>
  <xdr:twoCellAnchor>
    <xdr:from>
      <xdr:col>3</xdr:col>
      <xdr:colOff>285750</xdr:colOff>
      <xdr:row>166</xdr:row>
      <xdr:rowOff>19049</xdr:rowOff>
    </xdr:from>
    <xdr:to>
      <xdr:col>3</xdr:col>
      <xdr:colOff>457199</xdr:colOff>
      <xdr:row>166</xdr:row>
      <xdr:rowOff>180974</xdr:rowOff>
    </xdr:to>
    <xdr:sp macro="" textlink="">
      <xdr:nvSpPr>
        <xdr:cNvPr id="81" name="Flowchart: Connector 80"/>
        <xdr:cNvSpPr/>
      </xdr:nvSpPr>
      <xdr:spPr>
        <a:xfrm>
          <a:off x="2114550" y="24212549"/>
          <a:ext cx="171449" cy="161925"/>
        </a:xfrm>
        <a:prstGeom prst="flowChartConnector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3</xdr:col>
      <xdr:colOff>495300</xdr:colOff>
      <xdr:row>165</xdr:row>
      <xdr:rowOff>171450</xdr:rowOff>
    </xdr:from>
    <xdr:to>
      <xdr:col>5</xdr:col>
      <xdr:colOff>390525</xdr:colOff>
      <xdr:row>167</xdr:row>
      <xdr:rowOff>9526</xdr:rowOff>
    </xdr:to>
    <xdr:sp macro="" textlink="">
      <xdr:nvSpPr>
        <xdr:cNvPr id="82" name="TextBox 81"/>
        <xdr:cNvSpPr txBox="1"/>
      </xdr:nvSpPr>
      <xdr:spPr>
        <a:xfrm>
          <a:off x="2324100" y="24174450"/>
          <a:ext cx="1114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COMPLETE</a:t>
          </a:r>
        </a:p>
      </xdr:txBody>
    </xdr:sp>
    <xdr:clientData/>
  </xdr:twoCellAnchor>
  <xdr:twoCellAnchor>
    <xdr:from>
      <xdr:col>5</xdr:col>
      <xdr:colOff>114300</xdr:colOff>
      <xdr:row>167</xdr:row>
      <xdr:rowOff>133350</xdr:rowOff>
    </xdr:from>
    <xdr:to>
      <xdr:col>6</xdr:col>
      <xdr:colOff>38100</xdr:colOff>
      <xdr:row>168</xdr:row>
      <xdr:rowOff>171449</xdr:rowOff>
    </xdr:to>
    <xdr:sp macro="" textlink="">
      <xdr:nvSpPr>
        <xdr:cNvPr id="83" name="Rectangle 82"/>
        <xdr:cNvSpPr/>
      </xdr:nvSpPr>
      <xdr:spPr>
        <a:xfrm>
          <a:off x="3162300" y="24517350"/>
          <a:ext cx="533400" cy="22859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1</xdr:col>
      <xdr:colOff>485775</xdr:colOff>
      <xdr:row>173</xdr:row>
      <xdr:rowOff>133350</xdr:rowOff>
    </xdr:from>
    <xdr:to>
      <xdr:col>4</xdr:col>
      <xdr:colOff>457200</xdr:colOff>
      <xdr:row>181</xdr:row>
      <xdr:rowOff>123825</xdr:rowOff>
    </xdr:to>
    <xdr:sp macro="" textlink="">
      <xdr:nvSpPr>
        <xdr:cNvPr id="84" name="Flowchart: Decision 83"/>
        <xdr:cNvSpPr/>
      </xdr:nvSpPr>
      <xdr:spPr>
        <a:xfrm>
          <a:off x="1095375" y="25660350"/>
          <a:ext cx="1800225" cy="1514475"/>
        </a:xfrm>
        <a:prstGeom prst="flowChartDecision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</a:t>
          </a:r>
        </a:p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TICK= "COMPLETE" </a:t>
          </a:r>
          <a:endParaRPr lang="en-IN" sz="1100"/>
        </a:p>
      </xdr:txBody>
    </xdr:sp>
    <xdr:clientData/>
  </xdr:twoCellAnchor>
  <xdr:twoCellAnchor>
    <xdr:from>
      <xdr:col>2</xdr:col>
      <xdr:colOff>76201</xdr:colOff>
      <xdr:row>182</xdr:row>
      <xdr:rowOff>180974</xdr:rowOff>
    </xdr:from>
    <xdr:to>
      <xdr:col>4</xdr:col>
      <xdr:colOff>161925</xdr:colOff>
      <xdr:row>184</xdr:row>
      <xdr:rowOff>161923</xdr:rowOff>
    </xdr:to>
    <xdr:sp macro="" textlink="">
      <xdr:nvSpPr>
        <xdr:cNvPr id="86" name="Rectangle 85"/>
        <xdr:cNvSpPr/>
      </xdr:nvSpPr>
      <xdr:spPr>
        <a:xfrm>
          <a:off x="1295401" y="27422474"/>
          <a:ext cx="1304924" cy="361949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1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LOCK CE SHEET</a:t>
          </a:r>
        </a:p>
      </xdr:txBody>
    </xdr:sp>
    <xdr:clientData/>
  </xdr:twoCellAnchor>
  <xdr:twoCellAnchor>
    <xdr:from>
      <xdr:col>6</xdr:col>
      <xdr:colOff>123826</xdr:colOff>
      <xdr:row>176</xdr:row>
      <xdr:rowOff>123824</xdr:rowOff>
    </xdr:from>
    <xdr:to>
      <xdr:col>8</xdr:col>
      <xdr:colOff>209550</xdr:colOff>
      <xdr:row>178</xdr:row>
      <xdr:rowOff>104773</xdr:rowOff>
    </xdr:to>
    <xdr:sp macro="" textlink="">
      <xdr:nvSpPr>
        <xdr:cNvPr id="87" name="Rectangle 86"/>
        <xdr:cNvSpPr/>
      </xdr:nvSpPr>
      <xdr:spPr>
        <a:xfrm>
          <a:off x="3781426" y="26222324"/>
          <a:ext cx="1304924" cy="361949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1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UN LOCK CE SHEET</a:t>
          </a:r>
        </a:p>
      </xdr:txBody>
    </xdr:sp>
    <xdr:clientData/>
  </xdr:twoCellAnchor>
  <xdr:twoCellAnchor>
    <xdr:from>
      <xdr:col>11</xdr:col>
      <xdr:colOff>461457</xdr:colOff>
      <xdr:row>89</xdr:row>
      <xdr:rowOff>165388</xdr:rowOff>
    </xdr:from>
    <xdr:to>
      <xdr:col>16</xdr:col>
      <xdr:colOff>284348</xdr:colOff>
      <xdr:row>93</xdr:row>
      <xdr:rowOff>143056</xdr:rowOff>
    </xdr:to>
    <xdr:sp macro="" textlink="">
      <xdr:nvSpPr>
        <xdr:cNvPr id="90" name="Rectangle 89"/>
        <xdr:cNvSpPr/>
      </xdr:nvSpPr>
      <xdr:spPr>
        <a:xfrm>
          <a:off x="7128957" y="11404888"/>
          <a:ext cx="2853573" cy="739668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608239</xdr:colOff>
      <xdr:row>77</xdr:row>
      <xdr:rowOff>19049</xdr:rowOff>
    </xdr:from>
    <xdr:to>
      <xdr:col>6</xdr:col>
      <xdr:colOff>53068</xdr:colOff>
      <xdr:row>79</xdr:row>
      <xdr:rowOff>28574</xdr:rowOff>
    </xdr:to>
    <xdr:sp macro="" textlink="">
      <xdr:nvSpPr>
        <xdr:cNvPr id="91" name="Rectangle 90"/>
        <xdr:cNvSpPr/>
      </xdr:nvSpPr>
      <xdr:spPr>
        <a:xfrm>
          <a:off x="3057525" y="8972549"/>
          <a:ext cx="669472" cy="3905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15</xdr:col>
      <xdr:colOff>174470</xdr:colOff>
      <xdr:row>92</xdr:row>
      <xdr:rowOff>60962</xdr:rowOff>
    </xdr:from>
    <xdr:to>
      <xdr:col>16</xdr:col>
      <xdr:colOff>147815</xdr:colOff>
      <xdr:row>93</xdr:row>
      <xdr:rowOff>104826</xdr:rowOff>
    </xdr:to>
    <xdr:sp macro="" textlink="">
      <xdr:nvSpPr>
        <xdr:cNvPr id="92" name="Rectangle 91"/>
        <xdr:cNvSpPr/>
      </xdr:nvSpPr>
      <xdr:spPr>
        <a:xfrm>
          <a:off x="9266515" y="11871962"/>
          <a:ext cx="579482" cy="234364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13</xdr:col>
      <xdr:colOff>370332</xdr:colOff>
      <xdr:row>91</xdr:row>
      <xdr:rowOff>111789</xdr:rowOff>
    </xdr:from>
    <xdr:to>
      <xdr:col>14</xdr:col>
      <xdr:colOff>250990</xdr:colOff>
      <xdr:row>92</xdr:row>
      <xdr:rowOff>111789</xdr:rowOff>
    </xdr:to>
    <xdr:sp macro="" textlink="">
      <xdr:nvSpPr>
        <xdr:cNvPr id="93" name="Rectangle 92"/>
        <xdr:cNvSpPr/>
      </xdr:nvSpPr>
      <xdr:spPr>
        <a:xfrm>
          <a:off x="8250105" y="11732289"/>
          <a:ext cx="486794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oneCellAnchor>
    <xdr:from>
      <xdr:col>13</xdr:col>
      <xdr:colOff>346239</xdr:colOff>
      <xdr:row>90</xdr:row>
      <xdr:rowOff>33027</xdr:rowOff>
    </xdr:from>
    <xdr:ext cx="485261" cy="264560"/>
    <xdr:sp macro="" textlink="">
      <xdr:nvSpPr>
        <xdr:cNvPr id="94" name="TextBox 93"/>
        <xdr:cNvSpPr txBox="1"/>
      </xdr:nvSpPr>
      <xdr:spPr>
        <a:xfrm>
          <a:off x="8226012" y="11463027"/>
          <a:ext cx="4852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P-NO</a:t>
          </a:r>
        </a:p>
      </xdr:txBody>
    </xdr:sp>
    <xdr:clientData/>
  </xdr:oneCellAnchor>
  <xdr:twoCellAnchor>
    <xdr:from>
      <xdr:col>3</xdr:col>
      <xdr:colOff>342897</xdr:colOff>
      <xdr:row>23</xdr:row>
      <xdr:rowOff>76200</xdr:rowOff>
    </xdr:from>
    <xdr:to>
      <xdr:col>3</xdr:col>
      <xdr:colOff>361949</xdr:colOff>
      <xdr:row>69</xdr:row>
      <xdr:rowOff>57150</xdr:rowOff>
    </xdr:to>
    <xdr:cxnSp macro="">
      <xdr:nvCxnSpPr>
        <xdr:cNvPr id="96" name="Straight Arrow Connector 95"/>
        <xdr:cNvCxnSpPr>
          <a:endCxn id="16" idx="0"/>
        </xdr:cNvCxnSpPr>
      </xdr:nvCxnSpPr>
      <xdr:spPr>
        <a:xfrm rot="16200000" flipH="1">
          <a:off x="-2190752" y="8820149"/>
          <a:ext cx="8743950" cy="19052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166968</xdr:colOff>
      <xdr:row>79</xdr:row>
      <xdr:rowOff>85168</xdr:rowOff>
    </xdr:from>
    <xdr:to>
      <xdr:col>3</xdr:col>
      <xdr:colOff>174816</xdr:colOff>
      <xdr:row>82</xdr:row>
      <xdr:rowOff>119903</xdr:rowOff>
    </xdr:to>
    <xdr:cxnSp macro="">
      <xdr:nvCxnSpPr>
        <xdr:cNvPr id="99" name="Straight Arrow Connector 98"/>
        <xdr:cNvCxnSpPr/>
      </xdr:nvCxnSpPr>
      <xdr:spPr>
        <a:xfrm rot="5400000">
          <a:off x="1683127" y="9718862"/>
          <a:ext cx="606235" cy="7848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257735</xdr:colOff>
      <xdr:row>85</xdr:row>
      <xdr:rowOff>78443</xdr:rowOff>
    </xdr:from>
    <xdr:to>
      <xdr:col>1</xdr:col>
      <xdr:colOff>263338</xdr:colOff>
      <xdr:row>89</xdr:row>
      <xdr:rowOff>126626</xdr:rowOff>
    </xdr:to>
    <xdr:cxnSp macro="">
      <xdr:nvCxnSpPr>
        <xdr:cNvPr id="100" name="Straight Arrow Connector 99"/>
        <xdr:cNvCxnSpPr/>
      </xdr:nvCxnSpPr>
      <xdr:spPr>
        <a:xfrm rot="16200000" flipH="1">
          <a:off x="460563" y="10958233"/>
          <a:ext cx="810183" cy="5603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236444</xdr:colOff>
      <xdr:row>85</xdr:row>
      <xdr:rowOff>56032</xdr:rowOff>
    </xdr:from>
    <xdr:to>
      <xdr:col>5</xdr:col>
      <xdr:colOff>246530</xdr:colOff>
      <xdr:row>89</xdr:row>
      <xdr:rowOff>110940</xdr:rowOff>
    </xdr:to>
    <xdr:cxnSp macro="">
      <xdr:nvCxnSpPr>
        <xdr:cNvPr id="101" name="Straight Arrow Connector 100"/>
        <xdr:cNvCxnSpPr/>
      </xdr:nvCxnSpPr>
      <xdr:spPr>
        <a:xfrm rot="5400000">
          <a:off x="2858621" y="10936943"/>
          <a:ext cx="816908" cy="10086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246529</xdr:colOff>
      <xdr:row>85</xdr:row>
      <xdr:rowOff>61913</xdr:rowOff>
    </xdr:from>
    <xdr:to>
      <xdr:col>2</xdr:col>
      <xdr:colOff>0</xdr:colOff>
      <xdr:row>85</xdr:row>
      <xdr:rowOff>67235</xdr:rowOff>
    </xdr:to>
    <xdr:cxnSp macro="">
      <xdr:nvCxnSpPr>
        <xdr:cNvPr id="103" name="Straight Connector 102"/>
        <xdr:cNvCxnSpPr>
          <a:stCxn id="29" idx="1"/>
        </xdr:cNvCxnSpPr>
      </xdr:nvCxnSpPr>
      <xdr:spPr>
        <a:xfrm rot="10800000" flipV="1">
          <a:off x="851647" y="10539413"/>
          <a:ext cx="358588" cy="532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286871</xdr:colOff>
      <xdr:row>85</xdr:row>
      <xdr:rowOff>56029</xdr:rowOff>
    </xdr:from>
    <xdr:to>
      <xdr:col>5</xdr:col>
      <xdr:colOff>246531</xdr:colOff>
      <xdr:row>85</xdr:row>
      <xdr:rowOff>62751</xdr:rowOff>
    </xdr:to>
    <xdr:cxnSp macro="">
      <xdr:nvCxnSpPr>
        <xdr:cNvPr id="105" name="Straight Connector 104"/>
        <xdr:cNvCxnSpPr/>
      </xdr:nvCxnSpPr>
      <xdr:spPr>
        <a:xfrm rot="10800000" flipV="1">
          <a:off x="2707342" y="10533529"/>
          <a:ext cx="564777" cy="672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535920</xdr:colOff>
      <xdr:row>94</xdr:row>
      <xdr:rowOff>9525</xdr:rowOff>
    </xdr:from>
    <xdr:to>
      <xdr:col>1</xdr:col>
      <xdr:colOff>537882</xdr:colOff>
      <xdr:row>97</xdr:row>
      <xdr:rowOff>112059</xdr:rowOff>
    </xdr:to>
    <xdr:cxnSp macro="">
      <xdr:nvCxnSpPr>
        <xdr:cNvPr id="110" name="Straight Connector 109"/>
        <xdr:cNvCxnSpPr>
          <a:stCxn id="31" idx="2"/>
        </xdr:cNvCxnSpPr>
      </xdr:nvCxnSpPr>
      <xdr:spPr>
        <a:xfrm rot="16200000" flipH="1">
          <a:off x="805002" y="12537561"/>
          <a:ext cx="674034" cy="196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217674</xdr:colOff>
      <xdr:row>94</xdr:row>
      <xdr:rowOff>38661</xdr:rowOff>
    </xdr:from>
    <xdr:to>
      <xdr:col>5</xdr:col>
      <xdr:colOff>219636</xdr:colOff>
      <xdr:row>97</xdr:row>
      <xdr:rowOff>141195</xdr:rowOff>
    </xdr:to>
    <xdr:cxnSp macro="">
      <xdr:nvCxnSpPr>
        <xdr:cNvPr id="111" name="Straight Connector 110"/>
        <xdr:cNvCxnSpPr/>
      </xdr:nvCxnSpPr>
      <xdr:spPr>
        <a:xfrm rot="16200000" flipH="1">
          <a:off x="2907226" y="12566697"/>
          <a:ext cx="674034" cy="196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537882</xdr:colOff>
      <xdr:row>97</xdr:row>
      <xdr:rowOff>112059</xdr:rowOff>
    </xdr:from>
    <xdr:to>
      <xdr:col>5</xdr:col>
      <xdr:colOff>246530</xdr:colOff>
      <xdr:row>97</xdr:row>
      <xdr:rowOff>113647</xdr:rowOff>
    </xdr:to>
    <xdr:cxnSp macro="">
      <xdr:nvCxnSpPr>
        <xdr:cNvPr id="113" name="Straight Connector 112"/>
        <xdr:cNvCxnSpPr/>
      </xdr:nvCxnSpPr>
      <xdr:spPr>
        <a:xfrm rot="10800000">
          <a:off x="1143000" y="12875559"/>
          <a:ext cx="2129118" cy="158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375397</xdr:colOff>
      <xdr:row>97</xdr:row>
      <xdr:rowOff>112063</xdr:rowOff>
    </xdr:from>
    <xdr:to>
      <xdr:col>3</xdr:col>
      <xdr:colOff>381000</xdr:colOff>
      <xdr:row>100</xdr:row>
      <xdr:rowOff>48187</xdr:rowOff>
    </xdr:to>
    <xdr:cxnSp macro="">
      <xdr:nvCxnSpPr>
        <xdr:cNvPr id="116" name="Straight Arrow Connector 115"/>
        <xdr:cNvCxnSpPr/>
      </xdr:nvCxnSpPr>
      <xdr:spPr>
        <a:xfrm rot="5400000">
          <a:off x="1939740" y="13126573"/>
          <a:ext cx="507624" cy="5603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476988</xdr:colOff>
      <xdr:row>115</xdr:row>
      <xdr:rowOff>81333</xdr:rowOff>
    </xdr:from>
    <xdr:to>
      <xdr:col>3</xdr:col>
      <xdr:colOff>485776</xdr:colOff>
      <xdr:row>119</xdr:row>
      <xdr:rowOff>139944</xdr:rowOff>
    </xdr:to>
    <xdr:cxnSp macro="">
      <xdr:nvCxnSpPr>
        <xdr:cNvPr id="118" name="Straight Arrow Connector 117"/>
        <xdr:cNvCxnSpPr/>
      </xdr:nvCxnSpPr>
      <xdr:spPr>
        <a:xfrm rot="16200000" flipH="1">
          <a:off x="1899876" y="16679745"/>
          <a:ext cx="820611" cy="8788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78444</xdr:colOff>
      <xdr:row>126</xdr:row>
      <xdr:rowOff>112059</xdr:rowOff>
    </xdr:from>
    <xdr:to>
      <xdr:col>6</xdr:col>
      <xdr:colOff>560294</xdr:colOff>
      <xdr:row>126</xdr:row>
      <xdr:rowOff>112061</xdr:rowOff>
    </xdr:to>
    <xdr:cxnSp macro="">
      <xdr:nvCxnSpPr>
        <xdr:cNvPr id="122" name="Straight Arrow Connector 121"/>
        <xdr:cNvCxnSpPr/>
      </xdr:nvCxnSpPr>
      <xdr:spPr>
        <a:xfrm flipV="1">
          <a:off x="3104032" y="18400059"/>
          <a:ext cx="1086968" cy="2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579907</xdr:colOff>
      <xdr:row>126</xdr:row>
      <xdr:rowOff>93009</xdr:rowOff>
    </xdr:from>
    <xdr:to>
      <xdr:col>2</xdr:col>
      <xdr:colOff>452157</xdr:colOff>
      <xdr:row>126</xdr:row>
      <xdr:rowOff>93011</xdr:rowOff>
    </xdr:to>
    <xdr:cxnSp macro="">
      <xdr:nvCxnSpPr>
        <xdr:cNvPr id="131" name="Straight Arrow Connector 130"/>
        <xdr:cNvCxnSpPr/>
      </xdr:nvCxnSpPr>
      <xdr:spPr>
        <a:xfrm flipV="1">
          <a:off x="579907" y="18381009"/>
          <a:ext cx="1091450" cy="2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410368</xdr:colOff>
      <xdr:row>129</xdr:row>
      <xdr:rowOff>794</xdr:rowOff>
    </xdr:from>
    <xdr:to>
      <xdr:col>14</xdr:col>
      <xdr:colOff>419099</xdr:colOff>
      <xdr:row>132</xdr:row>
      <xdr:rowOff>57150</xdr:rowOff>
    </xdr:to>
    <xdr:cxnSp macro="">
      <xdr:nvCxnSpPr>
        <xdr:cNvPr id="133" name="Straight Connector 132"/>
        <xdr:cNvCxnSpPr/>
      </xdr:nvCxnSpPr>
      <xdr:spPr>
        <a:xfrm rot="16200000" flipH="1">
          <a:off x="8635206" y="19169856"/>
          <a:ext cx="627856" cy="873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137</xdr:row>
      <xdr:rowOff>28573</xdr:rowOff>
    </xdr:from>
    <xdr:to>
      <xdr:col>10</xdr:col>
      <xdr:colOff>342903</xdr:colOff>
      <xdr:row>137</xdr:row>
      <xdr:rowOff>28575</xdr:rowOff>
    </xdr:to>
    <xdr:cxnSp macro="">
      <xdr:nvCxnSpPr>
        <xdr:cNvPr id="139" name="Straight Connector 138"/>
        <xdr:cNvCxnSpPr/>
      </xdr:nvCxnSpPr>
      <xdr:spPr>
        <a:xfrm rot="10800000" flipV="1">
          <a:off x="619125" y="20412073"/>
          <a:ext cx="5819778" cy="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442636</xdr:colOff>
      <xdr:row>132</xdr:row>
      <xdr:rowOff>47624</xdr:rowOff>
    </xdr:from>
    <xdr:to>
      <xdr:col>14</xdr:col>
      <xdr:colOff>419100</xdr:colOff>
      <xdr:row>132</xdr:row>
      <xdr:rowOff>64435</xdr:rowOff>
    </xdr:to>
    <xdr:cxnSp macro="">
      <xdr:nvCxnSpPr>
        <xdr:cNvPr id="144" name="Straight Arrow Connector 143"/>
        <xdr:cNvCxnSpPr/>
      </xdr:nvCxnSpPr>
      <xdr:spPr>
        <a:xfrm rot="10800000" flipV="1">
          <a:off x="7757836" y="19478624"/>
          <a:ext cx="1195664" cy="16811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485777</xdr:colOff>
      <xdr:row>133</xdr:row>
      <xdr:rowOff>57154</xdr:rowOff>
    </xdr:from>
    <xdr:to>
      <xdr:col>11</xdr:col>
      <xdr:colOff>485778</xdr:colOff>
      <xdr:row>134</xdr:row>
      <xdr:rowOff>120896</xdr:rowOff>
    </xdr:to>
    <xdr:cxnSp macro="">
      <xdr:nvCxnSpPr>
        <xdr:cNvPr id="149" name="Straight Arrow Connector 148"/>
        <xdr:cNvCxnSpPr/>
      </xdr:nvCxnSpPr>
      <xdr:spPr>
        <a:xfrm rot="5400000">
          <a:off x="7064257" y="19805774"/>
          <a:ext cx="254242" cy="1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591343</xdr:colOff>
      <xdr:row>126</xdr:row>
      <xdr:rowOff>105570</xdr:rowOff>
    </xdr:from>
    <xdr:to>
      <xdr:col>1</xdr:col>
      <xdr:colOff>19053</xdr:colOff>
      <xdr:row>137</xdr:row>
      <xdr:rowOff>28578</xdr:rowOff>
    </xdr:to>
    <xdr:cxnSp macro="">
      <xdr:nvCxnSpPr>
        <xdr:cNvPr id="155" name="Straight Connector 154"/>
        <xdr:cNvCxnSpPr/>
      </xdr:nvCxnSpPr>
      <xdr:spPr>
        <a:xfrm rot="16200000" flipH="1">
          <a:off x="-399256" y="19384169"/>
          <a:ext cx="2018508" cy="3731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477044</xdr:colOff>
      <xdr:row>139</xdr:row>
      <xdr:rowOff>153195</xdr:rowOff>
    </xdr:from>
    <xdr:to>
      <xdr:col>11</xdr:col>
      <xdr:colOff>485775</xdr:colOff>
      <xdr:row>143</xdr:row>
      <xdr:rowOff>19051</xdr:rowOff>
    </xdr:to>
    <xdr:cxnSp macro="">
      <xdr:nvCxnSpPr>
        <xdr:cNvPr id="157" name="Straight Connector 156"/>
        <xdr:cNvCxnSpPr/>
      </xdr:nvCxnSpPr>
      <xdr:spPr>
        <a:xfrm rot="16200000" flipH="1">
          <a:off x="6873082" y="21227257"/>
          <a:ext cx="627856" cy="873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352426</xdr:colOff>
      <xdr:row>142</xdr:row>
      <xdr:rowOff>180974</xdr:rowOff>
    </xdr:from>
    <xdr:to>
      <xdr:col>11</xdr:col>
      <xdr:colOff>457201</xdr:colOff>
      <xdr:row>143</xdr:row>
      <xdr:rowOff>0</xdr:rowOff>
    </xdr:to>
    <xdr:cxnSp macro="">
      <xdr:nvCxnSpPr>
        <xdr:cNvPr id="158" name="Straight Arrow Connector 157"/>
        <xdr:cNvCxnSpPr/>
      </xdr:nvCxnSpPr>
      <xdr:spPr>
        <a:xfrm rot="10800000" flipV="1">
          <a:off x="3400426" y="21516974"/>
          <a:ext cx="3762375" cy="9526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38101</xdr:colOff>
      <xdr:row>151</xdr:row>
      <xdr:rowOff>114302</xdr:rowOff>
    </xdr:from>
    <xdr:to>
      <xdr:col>3</xdr:col>
      <xdr:colOff>47627</xdr:colOff>
      <xdr:row>164</xdr:row>
      <xdr:rowOff>38103</xdr:rowOff>
    </xdr:to>
    <xdr:cxnSp macro="">
      <xdr:nvCxnSpPr>
        <xdr:cNvPr id="160" name="Straight Arrow Connector 159"/>
        <xdr:cNvCxnSpPr/>
      </xdr:nvCxnSpPr>
      <xdr:spPr>
        <a:xfrm rot="16200000" flipH="1">
          <a:off x="671513" y="30075190"/>
          <a:ext cx="2400301" cy="9526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180977</xdr:colOff>
      <xdr:row>169</xdr:row>
      <xdr:rowOff>95249</xdr:rowOff>
    </xdr:from>
    <xdr:to>
      <xdr:col>3</xdr:col>
      <xdr:colOff>195264</xdr:colOff>
      <xdr:row>173</xdr:row>
      <xdr:rowOff>142880</xdr:rowOff>
    </xdr:to>
    <xdr:cxnSp macro="">
      <xdr:nvCxnSpPr>
        <xdr:cNvPr id="162" name="Straight Arrow Connector 161"/>
        <xdr:cNvCxnSpPr>
          <a:stCxn id="78" idx="2"/>
        </xdr:cNvCxnSpPr>
      </xdr:nvCxnSpPr>
      <xdr:spPr>
        <a:xfrm rot="5400000">
          <a:off x="1612105" y="25829421"/>
          <a:ext cx="809631" cy="14287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152403</xdr:colOff>
      <xdr:row>181</xdr:row>
      <xdr:rowOff>123826</xdr:rowOff>
    </xdr:from>
    <xdr:to>
      <xdr:col>3</xdr:col>
      <xdr:colOff>166688</xdr:colOff>
      <xdr:row>183</xdr:row>
      <xdr:rowOff>6</xdr:rowOff>
    </xdr:to>
    <xdr:cxnSp macro="">
      <xdr:nvCxnSpPr>
        <xdr:cNvPr id="164" name="Straight Arrow Connector 163"/>
        <xdr:cNvCxnSpPr>
          <a:stCxn id="84" idx="2"/>
        </xdr:cNvCxnSpPr>
      </xdr:nvCxnSpPr>
      <xdr:spPr>
        <a:xfrm rot="5400000">
          <a:off x="1859756" y="27867773"/>
          <a:ext cx="257180" cy="14285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457200</xdr:colOff>
      <xdr:row>177</xdr:row>
      <xdr:rowOff>121584</xdr:rowOff>
    </xdr:from>
    <xdr:to>
      <xdr:col>6</xdr:col>
      <xdr:colOff>175932</xdr:colOff>
      <xdr:row>177</xdr:row>
      <xdr:rowOff>128588</xdr:rowOff>
    </xdr:to>
    <xdr:cxnSp macro="">
      <xdr:nvCxnSpPr>
        <xdr:cNvPr id="166" name="Straight Arrow Connector 165"/>
        <xdr:cNvCxnSpPr>
          <a:stCxn id="84" idx="3"/>
        </xdr:cNvCxnSpPr>
      </xdr:nvCxnSpPr>
      <xdr:spPr>
        <a:xfrm flipV="1">
          <a:off x="2895600" y="26982084"/>
          <a:ext cx="937932" cy="7004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211985</xdr:colOff>
      <xdr:row>178</xdr:row>
      <xdr:rowOff>113542</xdr:rowOff>
    </xdr:from>
    <xdr:to>
      <xdr:col>7</xdr:col>
      <xdr:colOff>212481</xdr:colOff>
      <xdr:row>189</xdr:row>
      <xdr:rowOff>183176</xdr:rowOff>
    </xdr:to>
    <xdr:cxnSp macro="">
      <xdr:nvCxnSpPr>
        <xdr:cNvPr id="172" name="Straight Connector 171"/>
        <xdr:cNvCxnSpPr/>
      </xdr:nvCxnSpPr>
      <xdr:spPr>
        <a:xfrm rot="16200000" flipH="1">
          <a:off x="3386608" y="28246861"/>
          <a:ext cx="2165134" cy="496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580162</xdr:colOff>
      <xdr:row>32</xdr:row>
      <xdr:rowOff>152403</xdr:rowOff>
    </xdr:from>
    <xdr:to>
      <xdr:col>14</xdr:col>
      <xdr:colOff>1</xdr:colOff>
      <xdr:row>89</xdr:row>
      <xdr:rowOff>119492</xdr:rowOff>
    </xdr:to>
    <xdr:cxnSp macro="">
      <xdr:nvCxnSpPr>
        <xdr:cNvPr id="178" name="Straight Arrow Connector 177"/>
        <xdr:cNvCxnSpPr/>
      </xdr:nvCxnSpPr>
      <xdr:spPr>
        <a:xfrm rot="5400000">
          <a:off x="3106887" y="11646478"/>
          <a:ext cx="10825589" cy="29439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247651</xdr:colOff>
      <xdr:row>91</xdr:row>
      <xdr:rowOff>154221</xdr:rowOff>
    </xdr:from>
    <xdr:to>
      <xdr:col>11</xdr:col>
      <xdr:colOff>461458</xdr:colOff>
      <xdr:row>91</xdr:row>
      <xdr:rowOff>166686</xdr:rowOff>
    </xdr:to>
    <xdr:cxnSp macro="">
      <xdr:nvCxnSpPr>
        <xdr:cNvPr id="182" name="Straight Arrow Connector 181"/>
        <xdr:cNvCxnSpPr>
          <a:stCxn id="90" idx="1"/>
          <a:endCxn id="32" idx="3"/>
        </xdr:cNvCxnSpPr>
      </xdr:nvCxnSpPr>
      <xdr:spPr>
        <a:xfrm rot="10800000" flipV="1">
          <a:off x="3884469" y="11774721"/>
          <a:ext cx="3244489" cy="12465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38101</xdr:colOff>
      <xdr:row>32</xdr:row>
      <xdr:rowOff>141368</xdr:rowOff>
    </xdr:from>
    <xdr:to>
      <xdr:col>20</xdr:col>
      <xdr:colOff>216116</xdr:colOff>
      <xdr:row>32</xdr:row>
      <xdr:rowOff>152400</xdr:rowOff>
    </xdr:to>
    <xdr:cxnSp macro="">
      <xdr:nvCxnSpPr>
        <xdr:cNvPr id="191" name="Straight Connector 190"/>
        <xdr:cNvCxnSpPr/>
      </xdr:nvCxnSpPr>
      <xdr:spPr>
        <a:xfrm rot="10800000" flipV="1">
          <a:off x="8572501" y="6237368"/>
          <a:ext cx="3835615" cy="1103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23</xdr:row>
      <xdr:rowOff>38101</xdr:rowOff>
    </xdr:from>
    <xdr:to>
      <xdr:col>20</xdr:col>
      <xdr:colOff>139914</xdr:colOff>
      <xdr:row>23</xdr:row>
      <xdr:rowOff>43638</xdr:rowOff>
    </xdr:to>
    <xdr:cxnSp macro="">
      <xdr:nvCxnSpPr>
        <xdr:cNvPr id="199" name="Straight Connector 198"/>
        <xdr:cNvCxnSpPr/>
      </xdr:nvCxnSpPr>
      <xdr:spPr>
        <a:xfrm rot="10800000">
          <a:off x="2171700" y="4419601"/>
          <a:ext cx="10160214" cy="553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374075</xdr:colOff>
      <xdr:row>44</xdr:row>
      <xdr:rowOff>72736</xdr:rowOff>
    </xdr:from>
    <xdr:to>
      <xdr:col>21</xdr:col>
      <xdr:colOff>400051</xdr:colOff>
      <xdr:row>57</xdr:row>
      <xdr:rowOff>76199</xdr:rowOff>
    </xdr:to>
    <xdr:cxnSp macro="">
      <xdr:nvCxnSpPr>
        <xdr:cNvPr id="202" name="Straight Arrow Connector 201"/>
        <xdr:cNvCxnSpPr>
          <a:endCxn id="211" idx="0"/>
        </xdr:cNvCxnSpPr>
      </xdr:nvCxnSpPr>
      <xdr:spPr>
        <a:xfrm rot="16200000" flipH="1">
          <a:off x="11854552" y="9681730"/>
          <a:ext cx="2479963" cy="25976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542924</xdr:colOff>
      <xdr:row>67</xdr:row>
      <xdr:rowOff>171017</xdr:rowOff>
    </xdr:from>
    <xdr:to>
      <xdr:col>32</xdr:col>
      <xdr:colOff>344365</xdr:colOff>
      <xdr:row>78</xdr:row>
      <xdr:rowOff>121227</xdr:rowOff>
    </xdr:to>
    <xdr:sp macro="" textlink="">
      <xdr:nvSpPr>
        <xdr:cNvPr id="209" name="Rectangle 208"/>
        <xdr:cNvSpPr/>
      </xdr:nvSpPr>
      <xdr:spPr>
        <a:xfrm>
          <a:off x="11489347" y="12934517"/>
          <a:ext cx="8315326" cy="204571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19</xdr:col>
      <xdr:colOff>419100</xdr:colOff>
      <xdr:row>57</xdr:row>
      <xdr:rowOff>76200</xdr:rowOff>
    </xdr:from>
    <xdr:to>
      <xdr:col>23</xdr:col>
      <xdr:colOff>381000</xdr:colOff>
      <xdr:row>61</xdr:row>
      <xdr:rowOff>0</xdr:rowOff>
    </xdr:to>
    <xdr:sp macro="" textlink="">
      <xdr:nvSpPr>
        <xdr:cNvPr id="211" name="Flowchart: Stored Data 210"/>
        <xdr:cNvSpPr/>
      </xdr:nvSpPr>
      <xdr:spPr>
        <a:xfrm>
          <a:off x="11916335" y="10934700"/>
          <a:ext cx="2382371" cy="685800"/>
        </a:xfrm>
        <a:prstGeom prst="flowChartOnlineStorag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800" b="1" cap="none" spc="0" baseline="0">
              <a:ln w="11430">
                <a:solidFill>
                  <a:schemeClr val="accent5">
                    <a:lumMod val="75000"/>
                  </a:schemeClr>
                </a:solidFill>
              </a:ln>
              <a:solidFill>
                <a:schemeClr val="accent5">
                  <a:lumMod val="75000"/>
                </a:schemeClr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DATABASE</a:t>
          </a:r>
          <a:endParaRPr lang="en-IN" sz="1100" b="1" cap="none" spc="0">
            <a:ln w="11430">
              <a:solidFill>
                <a:schemeClr val="accent5">
                  <a:lumMod val="75000"/>
                </a:schemeClr>
              </a:solidFill>
            </a:ln>
            <a:solidFill>
              <a:schemeClr val="accent5">
                <a:lumMod val="75000"/>
              </a:schemeClr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18</xdr:col>
      <xdr:colOff>17318</xdr:colOff>
      <xdr:row>59</xdr:row>
      <xdr:rowOff>40621</xdr:rowOff>
    </xdr:from>
    <xdr:to>
      <xdr:col>19</xdr:col>
      <xdr:colOff>418820</xdr:colOff>
      <xdr:row>59</xdr:row>
      <xdr:rowOff>51955</xdr:rowOff>
    </xdr:to>
    <xdr:cxnSp macro="">
      <xdr:nvCxnSpPr>
        <xdr:cNvPr id="214" name="Straight Arrow Connector 213"/>
        <xdr:cNvCxnSpPr/>
      </xdr:nvCxnSpPr>
      <xdr:spPr>
        <a:xfrm flipV="1">
          <a:off x="10927773" y="11280121"/>
          <a:ext cx="1007638" cy="11334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611302</xdr:colOff>
      <xdr:row>59</xdr:row>
      <xdr:rowOff>65917</xdr:rowOff>
    </xdr:from>
    <xdr:to>
      <xdr:col>18</xdr:col>
      <xdr:colOff>47624</xdr:colOff>
      <xdr:row>190</xdr:row>
      <xdr:rowOff>23813</xdr:rowOff>
    </xdr:to>
    <xdr:cxnSp macro="">
      <xdr:nvCxnSpPr>
        <xdr:cNvPr id="215" name="Straight Connector 214"/>
        <xdr:cNvCxnSpPr/>
      </xdr:nvCxnSpPr>
      <xdr:spPr>
        <a:xfrm rot="16200000" flipH="1">
          <a:off x="-721047" y="23162891"/>
          <a:ext cx="23770396" cy="5544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111239</xdr:colOff>
      <xdr:row>184</xdr:row>
      <xdr:rowOff>184980</xdr:rowOff>
    </xdr:from>
    <xdr:to>
      <xdr:col>3</xdr:col>
      <xdr:colOff>119063</xdr:colOff>
      <xdr:row>190</xdr:row>
      <xdr:rowOff>0</xdr:rowOff>
    </xdr:to>
    <xdr:cxnSp macro="">
      <xdr:nvCxnSpPr>
        <xdr:cNvPr id="216" name="Straight Connector 215"/>
        <xdr:cNvCxnSpPr/>
      </xdr:nvCxnSpPr>
      <xdr:spPr>
        <a:xfrm rot="16200000" flipH="1">
          <a:off x="1493516" y="34569078"/>
          <a:ext cx="958020" cy="782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95251</xdr:colOff>
      <xdr:row>190</xdr:row>
      <xdr:rowOff>28575</xdr:rowOff>
    </xdr:from>
    <xdr:to>
      <xdr:col>18</xdr:col>
      <xdr:colOff>95250</xdr:colOff>
      <xdr:row>190</xdr:row>
      <xdr:rowOff>47625</xdr:rowOff>
    </xdr:to>
    <xdr:cxnSp macro="">
      <xdr:nvCxnSpPr>
        <xdr:cNvPr id="218" name="Straight Connector 217"/>
        <xdr:cNvCxnSpPr/>
      </xdr:nvCxnSpPr>
      <xdr:spPr>
        <a:xfrm rot="10800000">
          <a:off x="1952626" y="35080575"/>
          <a:ext cx="9286874" cy="190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19</xdr:col>
      <xdr:colOff>56284</xdr:colOff>
      <xdr:row>69</xdr:row>
      <xdr:rowOff>141885</xdr:rowOff>
    </xdr:from>
    <xdr:ext cx="281872" cy="264560"/>
    <xdr:sp macro="" textlink="">
      <xdr:nvSpPr>
        <xdr:cNvPr id="223" name="TextBox 222"/>
        <xdr:cNvSpPr txBox="1"/>
      </xdr:nvSpPr>
      <xdr:spPr>
        <a:xfrm>
          <a:off x="11610842" y="13286385"/>
          <a:ext cx="28187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Sl</a:t>
          </a:r>
        </a:p>
      </xdr:txBody>
    </xdr:sp>
    <xdr:clientData/>
  </xdr:oneCellAnchor>
  <xdr:oneCellAnchor>
    <xdr:from>
      <xdr:col>19</xdr:col>
      <xdr:colOff>370297</xdr:colOff>
      <xdr:row>69</xdr:row>
      <xdr:rowOff>141885</xdr:rowOff>
    </xdr:from>
    <xdr:ext cx="485261" cy="264560"/>
    <xdr:sp macro="" textlink="">
      <xdr:nvSpPr>
        <xdr:cNvPr id="224" name="TextBox 223"/>
        <xdr:cNvSpPr txBox="1"/>
      </xdr:nvSpPr>
      <xdr:spPr>
        <a:xfrm>
          <a:off x="11924855" y="13286385"/>
          <a:ext cx="4852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P-NO</a:t>
          </a:r>
        </a:p>
      </xdr:txBody>
    </xdr:sp>
    <xdr:clientData/>
  </xdr:oneCellAnchor>
  <xdr:oneCellAnchor>
    <xdr:from>
      <xdr:col>20</xdr:col>
      <xdr:colOff>339536</xdr:colOff>
      <xdr:row>69</xdr:row>
      <xdr:rowOff>147745</xdr:rowOff>
    </xdr:from>
    <xdr:ext cx="621580" cy="264560"/>
    <xdr:sp macro="" textlink="">
      <xdr:nvSpPr>
        <xdr:cNvPr id="225" name="TextBox 224"/>
        <xdr:cNvSpPr txBox="1"/>
      </xdr:nvSpPr>
      <xdr:spPr>
        <a:xfrm>
          <a:off x="12502228" y="13292245"/>
          <a:ext cx="6215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Discript</a:t>
          </a:r>
        </a:p>
      </xdr:txBody>
    </xdr:sp>
    <xdr:clientData/>
  </xdr:oneCellAnchor>
  <xdr:oneCellAnchor>
    <xdr:from>
      <xdr:col>21</xdr:col>
      <xdr:colOff>484614</xdr:colOff>
      <xdr:row>69</xdr:row>
      <xdr:rowOff>153605</xdr:rowOff>
    </xdr:from>
    <xdr:ext cx="592791" cy="264560"/>
    <xdr:sp macro="" textlink="">
      <xdr:nvSpPr>
        <xdr:cNvPr id="226" name="TextBox 225"/>
        <xdr:cNvSpPr txBox="1"/>
      </xdr:nvSpPr>
      <xdr:spPr>
        <a:xfrm>
          <a:off x="13255441" y="13298105"/>
          <a:ext cx="5927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REC DT</a:t>
          </a:r>
        </a:p>
      </xdr:txBody>
    </xdr:sp>
    <xdr:clientData/>
  </xdr:oneCellAnchor>
  <xdr:oneCellAnchor>
    <xdr:from>
      <xdr:col>23</xdr:col>
      <xdr:colOff>14231</xdr:colOff>
      <xdr:row>69</xdr:row>
      <xdr:rowOff>174118</xdr:rowOff>
    </xdr:from>
    <xdr:ext cx="957442" cy="264560"/>
    <xdr:sp macro="" textlink="">
      <xdr:nvSpPr>
        <xdr:cNvPr id="227" name="TextBox 226"/>
        <xdr:cNvSpPr txBox="1"/>
      </xdr:nvSpPr>
      <xdr:spPr>
        <a:xfrm>
          <a:off x="14001327" y="13318618"/>
          <a:ext cx="9574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IOM TODEPT</a:t>
          </a:r>
        </a:p>
      </xdr:txBody>
    </xdr:sp>
    <xdr:clientData/>
  </xdr:oneCellAnchor>
  <xdr:oneCellAnchor>
    <xdr:from>
      <xdr:col>26</xdr:col>
      <xdr:colOff>269213</xdr:colOff>
      <xdr:row>69</xdr:row>
      <xdr:rowOff>165325</xdr:rowOff>
    </xdr:from>
    <xdr:ext cx="739113" cy="264560"/>
    <xdr:sp macro="" textlink="">
      <xdr:nvSpPr>
        <xdr:cNvPr id="228" name="TextBox 227"/>
        <xdr:cNvSpPr txBox="1"/>
      </xdr:nvSpPr>
      <xdr:spPr>
        <a:xfrm>
          <a:off x="16080713" y="13309825"/>
          <a:ext cx="7391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SITE VISIT</a:t>
          </a:r>
        </a:p>
      </xdr:txBody>
    </xdr:sp>
    <xdr:clientData/>
  </xdr:oneCellAnchor>
  <xdr:oneCellAnchor>
    <xdr:from>
      <xdr:col>24</xdr:col>
      <xdr:colOff>421612</xdr:colOff>
      <xdr:row>69</xdr:row>
      <xdr:rowOff>163857</xdr:rowOff>
    </xdr:from>
    <xdr:ext cx="1109984" cy="264560"/>
    <xdr:sp macro="" textlink="">
      <xdr:nvSpPr>
        <xdr:cNvPr id="229" name="TextBox 228"/>
        <xdr:cNvSpPr txBox="1"/>
      </xdr:nvSpPr>
      <xdr:spPr>
        <a:xfrm>
          <a:off x="15016843" y="13308357"/>
          <a:ext cx="110998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COST FRM DEPT</a:t>
          </a:r>
        </a:p>
      </xdr:txBody>
    </xdr:sp>
    <xdr:clientData/>
  </xdr:oneCellAnchor>
  <xdr:oneCellAnchor>
    <xdr:from>
      <xdr:col>28</xdr:col>
      <xdr:colOff>2519</xdr:colOff>
      <xdr:row>69</xdr:row>
      <xdr:rowOff>169718</xdr:rowOff>
    </xdr:from>
    <xdr:ext cx="799193" cy="264560"/>
    <xdr:sp macro="" textlink="">
      <xdr:nvSpPr>
        <xdr:cNvPr id="230" name="TextBox 229"/>
        <xdr:cNvSpPr txBox="1"/>
      </xdr:nvSpPr>
      <xdr:spPr>
        <a:xfrm>
          <a:off x="17030288" y="13314218"/>
          <a:ext cx="79919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BULK MTO</a:t>
          </a:r>
        </a:p>
      </xdr:txBody>
    </xdr:sp>
    <xdr:clientData/>
  </xdr:oneCellAnchor>
  <xdr:oneCellAnchor>
    <xdr:from>
      <xdr:col>29</xdr:col>
      <xdr:colOff>250173</xdr:colOff>
      <xdr:row>69</xdr:row>
      <xdr:rowOff>160924</xdr:rowOff>
    </xdr:from>
    <xdr:ext cx="926857" cy="264560"/>
    <xdr:sp macro="" textlink="">
      <xdr:nvSpPr>
        <xdr:cNvPr id="231" name="TextBox 230"/>
        <xdr:cNvSpPr txBox="1"/>
      </xdr:nvSpPr>
      <xdr:spPr>
        <a:xfrm>
          <a:off x="17886077" y="13305424"/>
          <a:ext cx="9268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EQUIP QUOT</a:t>
          </a:r>
        </a:p>
      </xdr:txBody>
    </xdr:sp>
    <xdr:clientData/>
  </xdr:oneCellAnchor>
  <xdr:oneCellAnchor>
    <xdr:from>
      <xdr:col>30</xdr:col>
      <xdr:colOff>556439</xdr:colOff>
      <xdr:row>69</xdr:row>
      <xdr:rowOff>159458</xdr:rowOff>
    </xdr:from>
    <xdr:ext cx="762453" cy="264560"/>
    <xdr:sp macro="" textlink="">
      <xdr:nvSpPr>
        <xdr:cNvPr id="232" name="TextBox 231"/>
        <xdr:cNvSpPr txBox="1"/>
      </xdr:nvSpPr>
      <xdr:spPr>
        <a:xfrm>
          <a:off x="18800477" y="13303958"/>
          <a:ext cx="7624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ESTIMATE</a:t>
          </a:r>
        </a:p>
      </xdr:txBody>
    </xdr:sp>
    <xdr:clientData/>
  </xdr:oneCellAnchor>
  <xdr:twoCellAnchor>
    <xdr:from>
      <xdr:col>23</xdr:col>
      <xdr:colOff>197827</xdr:colOff>
      <xdr:row>71</xdr:row>
      <xdr:rowOff>117231</xdr:rowOff>
    </xdr:from>
    <xdr:to>
      <xdr:col>23</xdr:col>
      <xdr:colOff>337039</xdr:colOff>
      <xdr:row>72</xdr:row>
      <xdr:rowOff>80596</xdr:rowOff>
    </xdr:to>
    <xdr:sp macro="" textlink="">
      <xdr:nvSpPr>
        <xdr:cNvPr id="234" name="Flowchart: Connector 233"/>
        <xdr:cNvSpPr/>
      </xdr:nvSpPr>
      <xdr:spPr>
        <a:xfrm>
          <a:off x="14184923" y="13642731"/>
          <a:ext cx="139212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23</xdr:col>
      <xdr:colOff>196361</xdr:colOff>
      <xdr:row>73</xdr:row>
      <xdr:rowOff>42497</xdr:rowOff>
    </xdr:from>
    <xdr:to>
      <xdr:col>23</xdr:col>
      <xdr:colOff>335573</xdr:colOff>
      <xdr:row>74</xdr:row>
      <xdr:rowOff>5862</xdr:rowOff>
    </xdr:to>
    <xdr:sp macro="" textlink="">
      <xdr:nvSpPr>
        <xdr:cNvPr id="235" name="Flowchart: Connector 234"/>
        <xdr:cNvSpPr/>
      </xdr:nvSpPr>
      <xdr:spPr>
        <a:xfrm>
          <a:off x="14183457" y="13948997"/>
          <a:ext cx="139212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23</xdr:col>
      <xdr:colOff>187569</xdr:colOff>
      <xdr:row>74</xdr:row>
      <xdr:rowOff>165589</xdr:rowOff>
    </xdr:from>
    <xdr:to>
      <xdr:col>23</xdr:col>
      <xdr:colOff>326781</xdr:colOff>
      <xdr:row>75</xdr:row>
      <xdr:rowOff>128954</xdr:rowOff>
    </xdr:to>
    <xdr:sp macro="" textlink="">
      <xdr:nvSpPr>
        <xdr:cNvPr id="236" name="Flowchart: Connector 235"/>
        <xdr:cNvSpPr/>
      </xdr:nvSpPr>
      <xdr:spPr>
        <a:xfrm>
          <a:off x="14174665" y="14262589"/>
          <a:ext cx="139212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23</xdr:col>
      <xdr:colOff>381000</xdr:colOff>
      <xdr:row>71</xdr:row>
      <xdr:rowOff>80597</xdr:rowOff>
    </xdr:from>
    <xdr:to>
      <xdr:col>24</xdr:col>
      <xdr:colOff>344365</xdr:colOff>
      <xdr:row>72</xdr:row>
      <xdr:rowOff>80597</xdr:rowOff>
    </xdr:to>
    <xdr:sp macro="" textlink="">
      <xdr:nvSpPr>
        <xdr:cNvPr id="237" name="TextBox 236"/>
        <xdr:cNvSpPr txBox="1"/>
      </xdr:nvSpPr>
      <xdr:spPr>
        <a:xfrm>
          <a:off x="14368096" y="13606097"/>
          <a:ext cx="5715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23</xdr:col>
      <xdr:colOff>357552</xdr:colOff>
      <xdr:row>73</xdr:row>
      <xdr:rowOff>13189</xdr:rowOff>
    </xdr:from>
    <xdr:to>
      <xdr:col>24</xdr:col>
      <xdr:colOff>498230</xdr:colOff>
      <xdr:row>74</xdr:row>
      <xdr:rowOff>13189</xdr:rowOff>
    </xdr:to>
    <xdr:sp macro="" textlink="">
      <xdr:nvSpPr>
        <xdr:cNvPr id="238" name="TextBox 237"/>
        <xdr:cNvSpPr txBox="1"/>
      </xdr:nvSpPr>
      <xdr:spPr>
        <a:xfrm>
          <a:off x="14344648" y="13919689"/>
          <a:ext cx="74881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23</xdr:col>
      <xdr:colOff>444009</xdr:colOff>
      <xdr:row>74</xdr:row>
      <xdr:rowOff>158263</xdr:rowOff>
    </xdr:from>
    <xdr:to>
      <xdr:col>24</xdr:col>
      <xdr:colOff>584687</xdr:colOff>
      <xdr:row>75</xdr:row>
      <xdr:rowOff>158263</xdr:rowOff>
    </xdr:to>
    <xdr:sp macro="" textlink="">
      <xdr:nvSpPr>
        <xdr:cNvPr id="239" name="TextBox 238"/>
        <xdr:cNvSpPr txBox="1"/>
      </xdr:nvSpPr>
      <xdr:spPr>
        <a:xfrm>
          <a:off x="14431105" y="14255263"/>
          <a:ext cx="74881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19</xdr:col>
      <xdr:colOff>84990</xdr:colOff>
      <xdr:row>73</xdr:row>
      <xdr:rowOff>77666</xdr:rowOff>
    </xdr:from>
    <xdr:to>
      <xdr:col>19</xdr:col>
      <xdr:colOff>388327</xdr:colOff>
      <xdr:row>74</xdr:row>
      <xdr:rowOff>77666</xdr:rowOff>
    </xdr:to>
    <xdr:sp macro="" textlink="">
      <xdr:nvSpPr>
        <xdr:cNvPr id="240" name="TextBox 239"/>
        <xdr:cNvSpPr txBox="1"/>
      </xdr:nvSpPr>
      <xdr:spPr>
        <a:xfrm>
          <a:off x="11639548" y="13984166"/>
          <a:ext cx="303337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1</a:t>
          </a:r>
        </a:p>
      </xdr:txBody>
    </xdr:sp>
    <xdr:clientData/>
  </xdr:twoCellAnchor>
  <xdr:twoCellAnchor>
    <xdr:from>
      <xdr:col>19</xdr:col>
      <xdr:colOff>296006</xdr:colOff>
      <xdr:row>73</xdr:row>
      <xdr:rowOff>76201</xdr:rowOff>
    </xdr:from>
    <xdr:to>
      <xdr:col>20</xdr:col>
      <xdr:colOff>498232</xdr:colOff>
      <xdr:row>74</xdr:row>
      <xdr:rowOff>76201</xdr:rowOff>
    </xdr:to>
    <xdr:sp macro="" textlink="">
      <xdr:nvSpPr>
        <xdr:cNvPr id="241" name="TextBox 240"/>
        <xdr:cNvSpPr txBox="1"/>
      </xdr:nvSpPr>
      <xdr:spPr>
        <a:xfrm>
          <a:off x="11850564" y="13982701"/>
          <a:ext cx="81036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P-XX-XXX</a:t>
          </a:r>
        </a:p>
      </xdr:txBody>
    </xdr:sp>
    <xdr:clientData/>
  </xdr:twoCellAnchor>
  <xdr:twoCellAnchor>
    <xdr:from>
      <xdr:col>20</xdr:col>
      <xdr:colOff>353157</xdr:colOff>
      <xdr:row>73</xdr:row>
      <xdr:rowOff>96716</xdr:rowOff>
    </xdr:from>
    <xdr:to>
      <xdr:col>21</xdr:col>
      <xdr:colOff>476250</xdr:colOff>
      <xdr:row>74</xdr:row>
      <xdr:rowOff>96716</xdr:rowOff>
    </xdr:to>
    <xdr:sp macro="" textlink="">
      <xdr:nvSpPr>
        <xdr:cNvPr id="242" name="TextBox 241"/>
        <xdr:cNvSpPr txBox="1"/>
      </xdr:nvSpPr>
      <xdr:spPr>
        <a:xfrm>
          <a:off x="12515849" y="14003216"/>
          <a:ext cx="73122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XXXXXXX</a:t>
          </a:r>
        </a:p>
      </xdr:txBody>
    </xdr:sp>
    <xdr:clientData/>
  </xdr:twoCellAnchor>
  <xdr:twoCellAnchor>
    <xdr:from>
      <xdr:col>21</xdr:col>
      <xdr:colOff>410306</xdr:colOff>
      <xdr:row>73</xdr:row>
      <xdr:rowOff>73270</xdr:rowOff>
    </xdr:from>
    <xdr:to>
      <xdr:col>23</xdr:col>
      <xdr:colOff>80596</xdr:colOff>
      <xdr:row>74</xdr:row>
      <xdr:rowOff>73270</xdr:rowOff>
    </xdr:to>
    <xdr:sp macro="" textlink="">
      <xdr:nvSpPr>
        <xdr:cNvPr id="243" name="TextBox 242"/>
        <xdr:cNvSpPr txBox="1"/>
      </xdr:nvSpPr>
      <xdr:spPr>
        <a:xfrm>
          <a:off x="13181133" y="13979770"/>
          <a:ext cx="88655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XX/XX/XXXX</a:t>
          </a:r>
        </a:p>
      </xdr:txBody>
    </xdr:sp>
    <xdr:clientData/>
  </xdr:twoCellAnchor>
  <xdr:twoCellAnchor>
    <xdr:from>
      <xdr:col>24</xdr:col>
      <xdr:colOff>555391</xdr:colOff>
      <xdr:row>71</xdr:row>
      <xdr:rowOff>115766</xdr:rowOff>
    </xdr:from>
    <xdr:to>
      <xdr:col>25</xdr:col>
      <xdr:colOff>86469</xdr:colOff>
      <xdr:row>72</xdr:row>
      <xdr:rowOff>79131</xdr:rowOff>
    </xdr:to>
    <xdr:sp macro="" textlink="">
      <xdr:nvSpPr>
        <xdr:cNvPr id="244" name="Flowchart: Connector 243"/>
        <xdr:cNvSpPr/>
      </xdr:nvSpPr>
      <xdr:spPr>
        <a:xfrm>
          <a:off x="15150622" y="13641266"/>
          <a:ext cx="139212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24</xdr:col>
      <xdr:colOff>553925</xdr:colOff>
      <xdr:row>73</xdr:row>
      <xdr:rowOff>41032</xdr:rowOff>
    </xdr:from>
    <xdr:to>
      <xdr:col>25</xdr:col>
      <xdr:colOff>85003</xdr:colOff>
      <xdr:row>74</xdr:row>
      <xdr:rowOff>4397</xdr:rowOff>
    </xdr:to>
    <xdr:sp macro="" textlink="">
      <xdr:nvSpPr>
        <xdr:cNvPr id="245" name="Flowchart: Connector 244"/>
        <xdr:cNvSpPr/>
      </xdr:nvSpPr>
      <xdr:spPr>
        <a:xfrm>
          <a:off x="15149156" y="13947532"/>
          <a:ext cx="139212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24</xdr:col>
      <xdr:colOff>545133</xdr:colOff>
      <xdr:row>74</xdr:row>
      <xdr:rowOff>164124</xdr:rowOff>
    </xdr:from>
    <xdr:to>
      <xdr:col>25</xdr:col>
      <xdr:colOff>76211</xdr:colOff>
      <xdr:row>75</xdr:row>
      <xdr:rowOff>127489</xdr:rowOff>
    </xdr:to>
    <xdr:sp macro="" textlink="">
      <xdr:nvSpPr>
        <xdr:cNvPr id="246" name="Flowchart: Connector 245"/>
        <xdr:cNvSpPr/>
      </xdr:nvSpPr>
      <xdr:spPr>
        <a:xfrm>
          <a:off x="15140364" y="14261124"/>
          <a:ext cx="139212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25</xdr:col>
      <xdr:colOff>130430</xdr:colOff>
      <xdr:row>71</xdr:row>
      <xdr:rowOff>79132</xdr:rowOff>
    </xdr:from>
    <xdr:to>
      <xdr:col>26</xdr:col>
      <xdr:colOff>93795</xdr:colOff>
      <xdr:row>72</xdr:row>
      <xdr:rowOff>79132</xdr:rowOff>
    </xdr:to>
    <xdr:sp macro="" textlink="">
      <xdr:nvSpPr>
        <xdr:cNvPr id="247" name="TextBox 246"/>
        <xdr:cNvSpPr txBox="1"/>
      </xdr:nvSpPr>
      <xdr:spPr>
        <a:xfrm>
          <a:off x="15333795" y="13604632"/>
          <a:ext cx="5715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25</xdr:col>
      <xdr:colOff>106982</xdr:colOff>
      <xdr:row>73</xdr:row>
      <xdr:rowOff>11724</xdr:rowOff>
    </xdr:from>
    <xdr:to>
      <xdr:col>26</xdr:col>
      <xdr:colOff>247660</xdr:colOff>
      <xdr:row>74</xdr:row>
      <xdr:rowOff>11724</xdr:rowOff>
    </xdr:to>
    <xdr:sp macro="" textlink="">
      <xdr:nvSpPr>
        <xdr:cNvPr id="248" name="TextBox 247"/>
        <xdr:cNvSpPr txBox="1"/>
      </xdr:nvSpPr>
      <xdr:spPr>
        <a:xfrm>
          <a:off x="15310347" y="13918224"/>
          <a:ext cx="74881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25</xdr:col>
      <xdr:colOff>193439</xdr:colOff>
      <xdr:row>74</xdr:row>
      <xdr:rowOff>156798</xdr:rowOff>
    </xdr:from>
    <xdr:to>
      <xdr:col>26</xdr:col>
      <xdr:colOff>334117</xdr:colOff>
      <xdr:row>75</xdr:row>
      <xdr:rowOff>156798</xdr:rowOff>
    </xdr:to>
    <xdr:sp macro="" textlink="">
      <xdr:nvSpPr>
        <xdr:cNvPr id="249" name="TextBox 248"/>
        <xdr:cNvSpPr txBox="1"/>
      </xdr:nvSpPr>
      <xdr:spPr>
        <a:xfrm>
          <a:off x="15396804" y="14253798"/>
          <a:ext cx="74881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26</xdr:col>
      <xdr:colOff>260857</xdr:colOff>
      <xdr:row>71</xdr:row>
      <xdr:rowOff>114299</xdr:rowOff>
    </xdr:from>
    <xdr:to>
      <xdr:col>26</xdr:col>
      <xdr:colOff>400069</xdr:colOff>
      <xdr:row>72</xdr:row>
      <xdr:rowOff>77664</xdr:rowOff>
    </xdr:to>
    <xdr:sp macro="" textlink="">
      <xdr:nvSpPr>
        <xdr:cNvPr id="250" name="Flowchart: Connector 249"/>
        <xdr:cNvSpPr/>
      </xdr:nvSpPr>
      <xdr:spPr>
        <a:xfrm>
          <a:off x="16072357" y="13639799"/>
          <a:ext cx="139212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26</xdr:col>
      <xdr:colOff>259391</xdr:colOff>
      <xdr:row>73</xdr:row>
      <xdr:rowOff>39565</xdr:rowOff>
    </xdr:from>
    <xdr:to>
      <xdr:col>26</xdr:col>
      <xdr:colOff>398603</xdr:colOff>
      <xdr:row>74</xdr:row>
      <xdr:rowOff>2930</xdr:rowOff>
    </xdr:to>
    <xdr:sp macro="" textlink="">
      <xdr:nvSpPr>
        <xdr:cNvPr id="251" name="Flowchart: Connector 250"/>
        <xdr:cNvSpPr/>
      </xdr:nvSpPr>
      <xdr:spPr>
        <a:xfrm>
          <a:off x="16070891" y="13946065"/>
          <a:ext cx="139212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26</xdr:col>
      <xdr:colOff>250599</xdr:colOff>
      <xdr:row>74</xdr:row>
      <xdr:rowOff>162657</xdr:rowOff>
    </xdr:from>
    <xdr:to>
      <xdr:col>26</xdr:col>
      <xdr:colOff>389811</xdr:colOff>
      <xdr:row>75</xdr:row>
      <xdr:rowOff>126022</xdr:rowOff>
    </xdr:to>
    <xdr:sp macro="" textlink="">
      <xdr:nvSpPr>
        <xdr:cNvPr id="252" name="Flowchart: Connector 251"/>
        <xdr:cNvSpPr/>
      </xdr:nvSpPr>
      <xdr:spPr>
        <a:xfrm>
          <a:off x="16062099" y="14259657"/>
          <a:ext cx="139212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26</xdr:col>
      <xdr:colOff>444030</xdr:colOff>
      <xdr:row>71</xdr:row>
      <xdr:rowOff>77665</xdr:rowOff>
    </xdr:from>
    <xdr:to>
      <xdr:col>27</xdr:col>
      <xdr:colOff>407395</xdr:colOff>
      <xdr:row>72</xdr:row>
      <xdr:rowOff>77665</xdr:rowOff>
    </xdr:to>
    <xdr:sp macro="" textlink="">
      <xdr:nvSpPr>
        <xdr:cNvPr id="253" name="TextBox 252"/>
        <xdr:cNvSpPr txBox="1"/>
      </xdr:nvSpPr>
      <xdr:spPr>
        <a:xfrm>
          <a:off x="16255530" y="13603165"/>
          <a:ext cx="5715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26</xdr:col>
      <xdr:colOff>420582</xdr:colOff>
      <xdr:row>73</xdr:row>
      <xdr:rowOff>10257</xdr:rowOff>
    </xdr:from>
    <xdr:to>
      <xdr:col>27</xdr:col>
      <xdr:colOff>561260</xdr:colOff>
      <xdr:row>74</xdr:row>
      <xdr:rowOff>10257</xdr:rowOff>
    </xdr:to>
    <xdr:sp macro="" textlink="">
      <xdr:nvSpPr>
        <xdr:cNvPr id="254" name="TextBox 253"/>
        <xdr:cNvSpPr txBox="1"/>
      </xdr:nvSpPr>
      <xdr:spPr>
        <a:xfrm>
          <a:off x="16232082" y="13916757"/>
          <a:ext cx="74881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26</xdr:col>
      <xdr:colOff>507039</xdr:colOff>
      <xdr:row>74</xdr:row>
      <xdr:rowOff>155331</xdr:rowOff>
    </xdr:from>
    <xdr:to>
      <xdr:col>28</xdr:col>
      <xdr:colOff>39583</xdr:colOff>
      <xdr:row>75</xdr:row>
      <xdr:rowOff>155331</xdr:rowOff>
    </xdr:to>
    <xdr:sp macro="" textlink="">
      <xdr:nvSpPr>
        <xdr:cNvPr id="255" name="TextBox 254"/>
        <xdr:cNvSpPr txBox="1"/>
      </xdr:nvSpPr>
      <xdr:spPr>
        <a:xfrm>
          <a:off x="16318539" y="14252331"/>
          <a:ext cx="74881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27</xdr:col>
      <xdr:colOff>559803</xdr:colOff>
      <xdr:row>71</xdr:row>
      <xdr:rowOff>120159</xdr:rowOff>
    </xdr:from>
    <xdr:to>
      <xdr:col>28</xdr:col>
      <xdr:colOff>90881</xdr:colOff>
      <xdr:row>72</xdr:row>
      <xdr:rowOff>83524</xdr:rowOff>
    </xdr:to>
    <xdr:sp macro="" textlink="">
      <xdr:nvSpPr>
        <xdr:cNvPr id="256" name="Flowchart: Connector 255"/>
        <xdr:cNvSpPr/>
      </xdr:nvSpPr>
      <xdr:spPr>
        <a:xfrm>
          <a:off x="16979438" y="13645659"/>
          <a:ext cx="139212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27</xdr:col>
      <xdr:colOff>558337</xdr:colOff>
      <xdr:row>73</xdr:row>
      <xdr:rowOff>45425</xdr:rowOff>
    </xdr:from>
    <xdr:to>
      <xdr:col>28</xdr:col>
      <xdr:colOff>89415</xdr:colOff>
      <xdr:row>74</xdr:row>
      <xdr:rowOff>8790</xdr:rowOff>
    </xdr:to>
    <xdr:sp macro="" textlink="">
      <xdr:nvSpPr>
        <xdr:cNvPr id="257" name="Flowchart: Connector 256"/>
        <xdr:cNvSpPr/>
      </xdr:nvSpPr>
      <xdr:spPr>
        <a:xfrm>
          <a:off x="16977972" y="13951925"/>
          <a:ext cx="139212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27</xdr:col>
      <xdr:colOff>549545</xdr:colOff>
      <xdr:row>74</xdr:row>
      <xdr:rowOff>168517</xdr:rowOff>
    </xdr:from>
    <xdr:to>
      <xdr:col>28</xdr:col>
      <xdr:colOff>80623</xdr:colOff>
      <xdr:row>75</xdr:row>
      <xdr:rowOff>131882</xdr:rowOff>
    </xdr:to>
    <xdr:sp macro="" textlink="">
      <xdr:nvSpPr>
        <xdr:cNvPr id="258" name="Flowchart: Connector 257"/>
        <xdr:cNvSpPr/>
      </xdr:nvSpPr>
      <xdr:spPr>
        <a:xfrm>
          <a:off x="16969180" y="14265517"/>
          <a:ext cx="139212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28</xdr:col>
      <xdr:colOff>134842</xdr:colOff>
      <xdr:row>71</xdr:row>
      <xdr:rowOff>83525</xdr:rowOff>
    </xdr:from>
    <xdr:to>
      <xdr:col>29</xdr:col>
      <xdr:colOff>98207</xdr:colOff>
      <xdr:row>72</xdr:row>
      <xdr:rowOff>83525</xdr:rowOff>
    </xdr:to>
    <xdr:sp macro="" textlink="">
      <xdr:nvSpPr>
        <xdr:cNvPr id="259" name="TextBox 258"/>
        <xdr:cNvSpPr txBox="1"/>
      </xdr:nvSpPr>
      <xdr:spPr>
        <a:xfrm>
          <a:off x="17162611" y="13609025"/>
          <a:ext cx="5715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28</xdr:col>
      <xdr:colOff>111394</xdr:colOff>
      <xdr:row>73</xdr:row>
      <xdr:rowOff>16117</xdr:rowOff>
    </xdr:from>
    <xdr:to>
      <xdr:col>29</xdr:col>
      <xdr:colOff>252072</xdr:colOff>
      <xdr:row>74</xdr:row>
      <xdr:rowOff>16117</xdr:rowOff>
    </xdr:to>
    <xdr:sp macro="" textlink="">
      <xdr:nvSpPr>
        <xdr:cNvPr id="260" name="TextBox 259"/>
        <xdr:cNvSpPr txBox="1"/>
      </xdr:nvSpPr>
      <xdr:spPr>
        <a:xfrm>
          <a:off x="17139163" y="13922617"/>
          <a:ext cx="74881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28</xdr:col>
      <xdr:colOff>197851</xdr:colOff>
      <xdr:row>74</xdr:row>
      <xdr:rowOff>161191</xdr:rowOff>
    </xdr:from>
    <xdr:to>
      <xdr:col>29</xdr:col>
      <xdr:colOff>338529</xdr:colOff>
      <xdr:row>75</xdr:row>
      <xdr:rowOff>161191</xdr:rowOff>
    </xdr:to>
    <xdr:sp macro="" textlink="">
      <xdr:nvSpPr>
        <xdr:cNvPr id="261" name="TextBox 260"/>
        <xdr:cNvSpPr txBox="1"/>
      </xdr:nvSpPr>
      <xdr:spPr>
        <a:xfrm>
          <a:off x="17225620" y="14258191"/>
          <a:ext cx="74881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29</xdr:col>
      <xdr:colOff>294577</xdr:colOff>
      <xdr:row>71</xdr:row>
      <xdr:rowOff>126019</xdr:rowOff>
    </xdr:from>
    <xdr:to>
      <xdr:col>29</xdr:col>
      <xdr:colOff>433789</xdr:colOff>
      <xdr:row>72</xdr:row>
      <xdr:rowOff>89384</xdr:rowOff>
    </xdr:to>
    <xdr:sp macro="" textlink="">
      <xdr:nvSpPr>
        <xdr:cNvPr id="262" name="Flowchart: Connector 261"/>
        <xdr:cNvSpPr/>
      </xdr:nvSpPr>
      <xdr:spPr>
        <a:xfrm>
          <a:off x="17930481" y="13651519"/>
          <a:ext cx="139212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29</xdr:col>
      <xdr:colOff>293111</xdr:colOff>
      <xdr:row>73</xdr:row>
      <xdr:rowOff>51285</xdr:rowOff>
    </xdr:from>
    <xdr:to>
      <xdr:col>29</xdr:col>
      <xdr:colOff>432323</xdr:colOff>
      <xdr:row>74</xdr:row>
      <xdr:rowOff>14650</xdr:rowOff>
    </xdr:to>
    <xdr:sp macro="" textlink="">
      <xdr:nvSpPr>
        <xdr:cNvPr id="263" name="Flowchart: Connector 262"/>
        <xdr:cNvSpPr/>
      </xdr:nvSpPr>
      <xdr:spPr>
        <a:xfrm>
          <a:off x="17929015" y="13957785"/>
          <a:ext cx="139212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29</xdr:col>
      <xdr:colOff>284319</xdr:colOff>
      <xdr:row>74</xdr:row>
      <xdr:rowOff>174377</xdr:rowOff>
    </xdr:from>
    <xdr:to>
      <xdr:col>29</xdr:col>
      <xdr:colOff>423531</xdr:colOff>
      <xdr:row>75</xdr:row>
      <xdr:rowOff>137742</xdr:rowOff>
    </xdr:to>
    <xdr:sp macro="" textlink="">
      <xdr:nvSpPr>
        <xdr:cNvPr id="264" name="Flowchart: Connector 263"/>
        <xdr:cNvSpPr/>
      </xdr:nvSpPr>
      <xdr:spPr>
        <a:xfrm>
          <a:off x="17920223" y="14271377"/>
          <a:ext cx="139212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29</xdr:col>
      <xdr:colOff>477750</xdr:colOff>
      <xdr:row>71</xdr:row>
      <xdr:rowOff>89385</xdr:rowOff>
    </xdr:from>
    <xdr:to>
      <xdr:col>30</xdr:col>
      <xdr:colOff>441116</xdr:colOff>
      <xdr:row>72</xdr:row>
      <xdr:rowOff>89385</xdr:rowOff>
    </xdr:to>
    <xdr:sp macro="" textlink="">
      <xdr:nvSpPr>
        <xdr:cNvPr id="265" name="TextBox 264"/>
        <xdr:cNvSpPr txBox="1"/>
      </xdr:nvSpPr>
      <xdr:spPr>
        <a:xfrm>
          <a:off x="18113654" y="13614885"/>
          <a:ext cx="5715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29</xdr:col>
      <xdr:colOff>454302</xdr:colOff>
      <xdr:row>73</xdr:row>
      <xdr:rowOff>21977</xdr:rowOff>
    </xdr:from>
    <xdr:to>
      <xdr:col>30</xdr:col>
      <xdr:colOff>594981</xdr:colOff>
      <xdr:row>74</xdr:row>
      <xdr:rowOff>21977</xdr:rowOff>
    </xdr:to>
    <xdr:sp macro="" textlink="">
      <xdr:nvSpPr>
        <xdr:cNvPr id="266" name="TextBox 265"/>
        <xdr:cNvSpPr txBox="1"/>
      </xdr:nvSpPr>
      <xdr:spPr>
        <a:xfrm>
          <a:off x="18090206" y="13928477"/>
          <a:ext cx="74881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29</xdr:col>
      <xdr:colOff>540759</xdr:colOff>
      <xdr:row>74</xdr:row>
      <xdr:rowOff>167051</xdr:rowOff>
    </xdr:from>
    <xdr:to>
      <xdr:col>31</xdr:col>
      <xdr:colOff>73303</xdr:colOff>
      <xdr:row>75</xdr:row>
      <xdr:rowOff>167051</xdr:rowOff>
    </xdr:to>
    <xdr:sp macro="" textlink="">
      <xdr:nvSpPr>
        <xdr:cNvPr id="267" name="TextBox 266"/>
        <xdr:cNvSpPr txBox="1"/>
      </xdr:nvSpPr>
      <xdr:spPr>
        <a:xfrm>
          <a:off x="18176663" y="14264051"/>
          <a:ext cx="74881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30</xdr:col>
      <xdr:colOff>592057</xdr:colOff>
      <xdr:row>72</xdr:row>
      <xdr:rowOff>101105</xdr:rowOff>
    </xdr:from>
    <xdr:to>
      <xdr:col>32</xdr:col>
      <xdr:colOff>241788</xdr:colOff>
      <xdr:row>74</xdr:row>
      <xdr:rowOff>73268</xdr:rowOff>
    </xdr:to>
    <xdr:sp macro="" textlink="">
      <xdr:nvSpPr>
        <xdr:cNvPr id="272" name="TextBox 271"/>
        <xdr:cNvSpPr txBox="1"/>
      </xdr:nvSpPr>
      <xdr:spPr>
        <a:xfrm>
          <a:off x="18836095" y="13817105"/>
          <a:ext cx="866001" cy="353163"/>
        </a:xfrm>
        <a:prstGeom prst="rect">
          <a:avLst/>
        </a:prstGeom>
        <a:noFill/>
        <a:ln w="381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COST</a:t>
          </a:r>
        </a:p>
      </xdr:txBody>
    </xdr:sp>
    <xdr:clientData/>
  </xdr:twoCellAnchor>
  <xdr:twoCellAnchor>
    <xdr:from>
      <xdr:col>21</xdr:col>
      <xdr:colOff>367397</xdr:colOff>
      <xdr:row>60</xdr:row>
      <xdr:rowOff>181594</xdr:rowOff>
    </xdr:from>
    <xdr:to>
      <xdr:col>21</xdr:col>
      <xdr:colOff>372476</xdr:colOff>
      <xdr:row>68</xdr:row>
      <xdr:rowOff>27217</xdr:rowOff>
    </xdr:to>
    <xdr:cxnSp macro="">
      <xdr:nvCxnSpPr>
        <xdr:cNvPr id="274" name="Straight Arrow Connector 273"/>
        <xdr:cNvCxnSpPr/>
      </xdr:nvCxnSpPr>
      <xdr:spPr>
        <a:xfrm rot="5400000">
          <a:off x="12543875" y="12293866"/>
          <a:ext cx="1369623" cy="5079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323850</xdr:colOff>
      <xdr:row>65</xdr:row>
      <xdr:rowOff>118629</xdr:rowOff>
    </xdr:from>
    <xdr:to>
      <xdr:col>47</xdr:col>
      <xdr:colOff>409575</xdr:colOff>
      <xdr:row>75</xdr:row>
      <xdr:rowOff>156729</xdr:rowOff>
    </xdr:to>
    <xdr:sp macro="" textlink="">
      <xdr:nvSpPr>
        <xdr:cNvPr id="288" name="Rectangle 287"/>
        <xdr:cNvSpPr/>
      </xdr:nvSpPr>
      <xdr:spPr>
        <a:xfrm>
          <a:off x="24707850" y="12501129"/>
          <a:ext cx="4352925" cy="1943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42</xdr:col>
      <xdr:colOff>123825</xdr:colOff>
      <xdr:row>68</xdr:row>
      <xdr:rowOff>71004</xdr:rowOff>
    </xdr:from>
    <xdr:to>
      <xdr:col>43</xdr:col>
      <xdr:colOff>0</xdr:colOff>
      <xdr:row>69</xdr:row>
      <xdr:rowOff>71004</xdr:rowOff>
    </xdr:to>
    <xdr:sp macro="" textlink="">
      <xdr:nvSpPr>
        <xdr:cNvPr id="289" name="Rectangle 288"/>
        <xdr:cNvSpPr/>
      </xdr:nvSpPr>
      <xdr:spPr>
        <a:xfrm>
          <a:off x="25727025" y="13025004"/>
          <a:ext cx="485775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43</xdr:col>
      <xdr:colOff>200025</xdr:colOff>
      <xdr:row>68</xdr:row>
      <xdr:rowOff>90053</xdr:rowOff>
    </xdr:from>
    <xdr:to>
      <xdr:col>44</xdr:col>
      <xdr:colOff>228600</xdr:colOff>
      <xdr:row>69</xdr:row>
      <xdr:rowOff>80528</xdr:rowOff>
    </xdr:to>
    <xdr:sp macro="" textlink="">
      <xdr:nvSpPr>
        <xdr:cNvPr id="290" name="Rectangle 289"/>
        <xdr:cNvSpPr/>
      </xdr:nvSpPr>
      <xdr:spPr>
        <a:xfrm>
          <a:off x="26412825" y="13044053"/>
          <a:ext cx="638175" cy="1809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44</xdr:col>
      <xdr:colOff>561975</xdr:colOff>
      <xdr:row>68</xdr:row>
      <xdr:rowOff>90054</xdr:rowOff>
    </xdr:from>
    <xdr:to>
      <xdr:col>45</xdr:col>
      <xdr:colOff>438150</xdr:colOff>
      <xdr:row>69</xdr:row>
      <xdr:rowOff>90054</xdr:rowOff>
    </xdr:to>
    <xdr:sp macro="" textlink="">
      <xdr:nvSpPr>
        <xdr:cNvPr id="291" name="Rectangle 290"/>
        <xdr:cNvSpPr/>
      </xdr:nvSpPr>
      <xdr:spPr>
        <a:xfrm>
          <a:off x="27384375" y="13044054"/>
          <a:ext cx="485775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46</xdr:col>
      <xdr:colOff>152400</xdr:colOff>
      <xdr:row>68</xdr:row>
      <xdr:rowOff>109104</xdr:rowOff>
    </xdr:from>
    <xdr:to>
      <xdr:col>47</xdr:col>
      <xdr:colOff>28575</xdr:colOff>
      <xdr:row>69</xdr:row>
      <xdr:rowOff>109104</xdr:rowOff>
    </xdr:to>
    <xdr:sp macro="" textlink="">
      <xdr:nvSpPr>
        <xdr:cNvPr id="292" name="Rectangle 291"/>
        <xdr:cNvSpPr/>
      </xdr:nvSpPr>
      <xdr:spPr>
        <a:xfrm>
          <a:off x="28194000" y="13063104"/>
          <a:ext cx="485775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oneCellAnchor>
    <xdr:from>
      <xdr:col>42</xdr:col>
      <xdr:colOff>133350</xdr:colOff>
      <xdr:row>67</xdr:row>
      <xdr:rowOff>13854</xdr:rowOff>
    </xdr:from>
    <xdr:ext cx="485261" cy="264560"/>
    <xdr:sp macro="" textlink="">
      <xdr:nvSpPr>
        <xdr:cNvPr id="293" name="TextBox 292"/>
        <xdr:cNvSpPr txBox="1"/>
      </xdr:nvSpPr>
      <xdr:spPr>
        <a:xfrm>
          <a:off x="25736550" y="12777354"/>
          <a:ext cx="4852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P-NO</a:t>
          </a:r>
        </a:p>
      </xdr:txBody>
    </xdr:sp>
    <xdr:clientData/>
  </xdr:oneCellAnchor>
  <xdr:oneCellAnchor>
    <xdr:from>
      <xdr:col>43</xdr:col>
      <xdr:colOff>104775</xdr:colOff>
      <xdr:row>67</xdr:row>
      <xdr:rowOff>13854</xdr:rowOff>
    </xdr:from>
    <xdr:ext cx="743280" cy="264560"/>
    <xdr:sp macro="" textlink="">
      <xdr:nvSpPr>
        <xdr:cNvPr id="294" name="TextBox 293"/>
        <xdr:cNvSpPr txBox="1"/>
      </xdr:nvSpPr>
      <xdr:spPr>
        <a:xfrm>
          <a:off x="26317575" y="12777354"/>
          <a:ext cx="7432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REC DATE</a:t>
          </a:r>
        </a:p>
      </xdr:txBody>
    </xdr:sp>
    <xdr:clientData/>
  </xdr:oneCellAnchor>
  <xdr:oneCellAnchor>
    <xdr:from>
      <xdr:col>44</xdr:col>
      <xdr:colOff>542925</xdr:colOff>
      <xdr:row>67</xdr:row>
      <xdr:rowOff>13854</xdr:rowOff>
    </xdr:from>
    <xdr:ext cx="470513" cy="264560"/>
    <xdr:sp macro="" textlink="">
      <xdr:nvSpPr>
        <xdr:cNvPr id="295" name="TextBox 294"/>
        <xdr:cNvSpPr txBox="1"/>
      </xdr:nvSpPr>
      <xdr:spPr>
        <a:xfrm>
          <a:off x="27365325" y="12777354"/>
          <a:ext cx="4705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UNIT</a:t>
          </a:r>
        </a:p>
      </xdr:txBody>
    </xdr:sp>
    <xdr:clientData/>
  </xdr:oneCellAnchor>
  <xdr:oneCellAnchor>
    <xdr:from>
      <xdr:col>46</xdr:col>
      <xdr:colOff>133350</xdr:colOff>
      <xdr:row>67</xdr:row>
      <xdr:rowOff>42429</xdr:rowOff>
    </xdr:from>
    <xdr:ext cx="560795" cy="264560"/>
    <xdr:sp macro="" textlink="">
      <xdr:nvSpPr>
        <xdr:cNvPr id="296" name="TextBox 295"/>
        <xdr:cNvSpPr txBox="1"/>
      </xdr:nvSpPr>
      <xdr:spPr>
        <a:xfrm>
          <a:off x="28174950" y="12805929"/>
          <a:ext cx="56079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PHASE</a:t>
          </a:r>
        </a:p>
      </xdr:txBody>
    </xdr:sp>
    <xdr:clientData/>
  </xdr:oneCellAnchor>
  <xdr:twoCellAnchor>
    <xdr:from>
      <xdr:col>42</xdr:col>
      <xdr:colOff>152400</xdr:colOff>
      <xdr:row>71</xdr:row>
      <xdr:rowOff>32903</xdr:rowOff>
    </xdr:from>
    <xdr:to>
      <xdr:col>46</xdr:col>
      <xdr:colOff>600075</xdr:colOff>
      <xdr:row>72</xdr:row>
      <xdr:rowOff>42428</xdr:rowOff>
    </xdr:to>
    <xdr:sp macro="" textlink="">
      <xdr:nvSpPr>
        <xdr:cNvPr id="297" name="Rectangle 296"/>
        <xdr:cNvSpPr/>
      </xdr:nvSpPr>
      <xdr:spPr>
        <a:xfrm>
          <a:off x="25755600" y="13558403"/>
          <a:ext cx="2886075" cy="2000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oneCellAnchor>
    <xdr:from>
      <xdr:col>42</xdr:col>
      <xdr:colOff>133350</xdr:colOff>
      <xdr:row>69</xdr:row>
      <xdr:rowOff>175779</xdr:rowOff>
    </xdr:from>
    <xdr:ext cx="485839" cy="264560"/>
    <xdr:sp macro="" textlink="">
      <xdr:nvSpPr>
        <xdr:cNvPr id="298" name="TextBox 297"/>
        <xdr:cNvSpPr txBox="1"/>
      </xdr:nvSpPr>
      <xdr:spPr>
        <a:xfrm>
          <a:off x="25736550" y="13320279"/>
          <a:ext cx="4858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TITLE</a:t>
          </a:r>
        </a:p>
      </xdr:txBody>
    </xdr:sp>
    <xdr:clientData/>
  </xdr:oneCellAnchor>
  <xdr:twoCellAnchor>
    <xdr:from>
      <xdr:col>46</xdr:col>
      <xdr:colOff>123825</xdr:colOff>
      <xdr:row>73</xdr:row>
      <xdr:rowOff>80528</xdr:rowOff>
    </xdr:from>
    <xdr:to>
      <xdr:col>47</xdr:col>
      <xdr:colOff>180975</xdr:colOff>
      <xdr:row>75</xdr:row>
      <xdr:rowOff>90053</xdr:rowOff>
    </xdr:to>
    <xdr:sp macro="" textlink="">
      <xdr:nvSpPr>
        <xdr:cNvPr id="299" name="Rectangle 298"/>
        <xdr:cNvSpPr/>
      </xdr:nvSpPr>
      <xdr:spPr>
        <a:xfrm>
          <a:off x="28165425" y="13987028"/>
          <a:ext cx="666750" cy="3905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43</xdr:col>
      <xdr:colOff>114300</xdr:colOff>
      <xdr:row>78</xdr:row>
      <xdr:rowOff>175779</xdr:rowOff>
    </xdr:from>
    <xdr:to>
      <xdr:col>45</xdr:col>
      <xdr:colOff>428625</xdr:colOff>
      <xdr:row>84</xdr:row>
      <xdr:rowOff>71004</xdr:rowOff>
    </xdr:to>
    <xdr:sp macro="" textlink="">
      <xdr:nvSpPr>
        <xdr:cNvPr id="300" name="Flowchart: Decision 299"/>
        <xdr:cNvSpPr/>
      </xdr:nvSpPr>
      <xdr:spPr>
        <a:xfrm>
          <a:off x="26327100" y="15034779"/>
          <a:ext cx="1533525" cy="1038225"/>
        </a:xfrm>
        <a:prstGeom prst="flowChartDecision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1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  <a:latin typeface="+mn-lt"/>
              <a:ea typeface="+mn-ea"/>
              <a:cs typeface="+mn-cs"/>
            </a:rPr>
            <a:t>IF </a:t>
          </a:r>
        </a:p>
        <a:p>
          <a:pPr algn="ctr"/>
          <a:r>
            <a:rPr lang="en-IN" sz="11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  <a:latin typeface="+mn-lt"/>
              <a:ea typeface="+mn-ea"/>
              <a:cs typeface="+mn-cs"/>
            </a:rPr>
            <a:t>M/N-NO =  TRUE</a:t>
          </a:r>
          <a:endParaRPr lang="en-IN" sz="1100" b="1" cap="none" spc="0">
            <a:ln w="11430"/>
            <a:gradFill>
              <a:gsLst>
                <a:gs pos="0">
                  <a:schemeClr val="accent6">
                    <a:tint val="90000"/>
                    <a:satMod val="120000"/>
                  </a:schemeClr>
                </a:gs>
                <a:gs pos="25000">
                  <a:schemeClr val="accent6">
                    <a:tint val="93000"/>
                    <a:satMod val="120000"/>
                  </a:schemeClr>
                </a:gs>
                <a:gs pos="50000">
                  <a:schemeClr val="accent6">
                    <a:shade val="89000"/>
                    <a:satMod val="110000"/>
                  </a:schemeClr>
                </a:gs>
                <a:gs pos="75000">
                  <a:schemeClr val="accent6">
                    <a:tint val="93000"/>
                    <a:satMod val="120000"/>
                  </a:schemeClr>
                </a:gs>
                <a:gs pos="100000">
                  <a:schemeClr val="accent6">
                    <a:tint val="90000"/>
                    <a:satMod val="120000"/>
                  </a:schemeClr>
                </a:gs>
              </a:gsLst>
              <a:lin ang="5400000"/>
            </a:gradFill>
            <a:effectLst>
              <a:outerShdw blurRad="80000" dist="40000" dir="5040000" algn="tl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41</xdr:col>
      <xdr:colOff>504823</xdr:colOff>
      <xdr:row>85</xdr:row>
      <xdr:rowOff>185303</xdr:rowOff>
    </xdr:from>
    <xdr:to>
      <xdr:col>44</xdr:col>
      <xdr:colOff>190500</xdr:colOff>
      <xdr:row>90</xdr:row>
      <xdr:rowOff>71004</xdr:rowOff>
    </xdr:to>
    <xdr:sp macro="" textlink="">
      <xdr:nvSpPr>
        <xdr:cNvPr id="301" name="Rectangle 300"/>
        <xdr:cNvSpPr/>
      </xdr:nvSpPr>
      <xdr:spPr>
        <a:xfrm>
          <a:off x="25498423" y="16377803"/>
          <a:ext cx="1514477" cy="83820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1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CREATE NEW WORKSHEET WITH NAME = M/N NO</a:t>
          </a:r>
        </a:p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45</xdr:col>
      <xdr:colOff>66673</xdr:colOff>
      <xdr:row>85</xdr:row>
      <xdr:rowOff>185303</xdr:rowOff>
    </xdr:from>
    <xdr:to>
      <xdr:col>47</xdr:col>
      <xdr:colOff>361950</xdr:colOff>
      <xdr:row>90</xdr:row>
      <xdr:rowOff>80529</xdr:rowOff>
    </xdr:to>
    <xdr:sp macro="" textlink="">
      <xdr:nvSpPr>
        <xdr:cNvPr id="302" name="Rectangle 301"/>
        <xdr:cNvSpPr/>
      </xdr:nvSpPr>
      <xdr:spPr>
        <a:xfrm>
          <a:off x="27498673" y="16377803"/>
          <a:ext cx="1514477" cy="84772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1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GO TO WORKSHEET  WITH NAME = M/NNO</a:t>
          </a:r>
        </a:p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42</xdr:col>
      <xdr:colOff>209550</xdr:colOff>
      <xdr:row>96</xdr:row>
      <xdr:rowOff>90053</xdr:rowOff>
    </xdr:from>
    <xdr:to>
      <xdr:col>47</xdr:col>
      <xdr:colOff>333375</xdr:colOff>
      <xdr:row>108</xdr:row>
      <xdr:rowOff>152400</xdr:rowOff>
    </xdr:to>
    <xdr:sp macro="" textlink="">
      <xdr:nvSpPr>
        <xdr:cNvPr id="303" name="Rectangle 302"/>
        <xdr:cNvSpPr/>
      </xdr:nvSpPr>
      <xdr:spPr>
        <a:xfrm>
          <a:off x="25812750" y="18378053"/>
          <a:ext cx="3171825" cy="234834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42</xdr:col>
      <xdr:colOff>447675</xdr:colOff>
      <xdr:row>102</xdr:row>
      <xdr:rowOff>42428</xdr:rowOff>
    </xdr:from>
    <xdr:to>
      <xdr:col>43</xdr:col>
      <xdr:colOff>447675</xdr:colOff>
      <xdr:row>103</xdr:row>
      <xdr:rowOff>109103</xdr:rowOff>
    </xdr:to>
    <xdr:sp macro="" textlink="">
      <xdr:nvSpPr>
        <xdr:cNvPr id="304" name="Rectangle 303"/>
        <xdr:cNvSpPr/>
      </xdr:nvSpPr>
      <xdr:spPr>
        <a:xfrm>
          <a:off x="26050875" y="19473428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Y/N</a:t>
          </a:r>
        </a:p>
      </xdr:txBody>
    </xdr:sp>
    <xdr:clientData/>
  </xdr:twoCellAnchor>
  <xdr:twoCellAnchor>
    <xdr:from>
      <xdr:col>43</xdr:col>
      <xdr:colOff>152399</xdr:colOff>
      <xdr:row>97</xdr:row>
      <xdr:rowOff>175779</xdr:rowOff>
    </xdr:from>
    <xdr:to>
      <xdr:col>47</xdr:col>
      <xdr:colOff>85724</xdr:colOff>
      <xdr:row>99</xdr:row>
      <xdr:rowOff>4329</xdr:rowOff>
    </xdr:to>
    <xdr:sp macro="" textlink="">
      <xdr:nvSpPr>
        <xdr:cNvPr id="305" name="TextBox 304"/>
        <xdr:cNvSpPr txBox="1"/>
      </xdr:nvSpPr>
      <xdr:spPr>
        <a:xfrm>
          <a:off x="26365199" y="18654279"/>
          <a:ext cx="2371725" cy="2095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r>
            <a:rPr lang="en-IN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INTER DEPT COMMUNICATION</a:t>
          </a:r>
        </a:p>
      </xdr:txBody>
    </xdr:sp>
    <xdr:clientData/>
  </xdr:twoCellAnchor>
  <xdr:twoCellAnchor>
    <xdr:from>
      <xdr:col>42</xdr:col>
      <xdr:colOff>457200</xdr:colOff>
      <xdr:row>100</xdr:row>
      <xdr:rowOff>185304</xdr:rowOff>
    </xdr:from>
    <xdr:to>
      <xdr:col>43</xdr:col>
      <xdr:colOff>476250</xdr:colOff>
      <xdr:row>101</xdr:row>
      <xdr:rowOff>185304</xdr:rowOff>
    </xdr:to>
    <xdr:sp macro="" textlink="">
      <xdr:nvSpPr>
        <xdr:cNvPr id="306" name="TextBox 305"/>
        <xdr:cNvSpPr txBox="1"/>
      </xdr:nvSpPr>
      <xdr:spPr>
        <a:xfrm>
          <a:off x="26060400" y="19235304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INSTRU</a:t>
          </a:r>
        </a:p>
      </xdr:txBody>
    </xdr:sp>
    <xdr:clientData/>
  </xdr:twoCellAnchor>
  <xdr:twoCellAnchor>
    <xdr:from>
      <xdr:col>44</xdr:col>
      <xdr:colOff>257175</xdr:colOff>
      <xdr:row>102</xdr:row>
      <xdr:rowOff>32903</xdr:rowOff>
    </xdr:from>
    <xdr:to>
      <xdr:col>45</xdr:col>
      <xdr:colOff>257175</xdr:colOff>
      <xdr:row>103</xdr:row>
      <xdr:rowOff>99578</xdr:rowOff>
    </xdr:to>
    <xdr:sp macro="" textlink="">
      <xdr:nvSpPr>
        <xdr:cNvPr id="307" name="Rectangle 306"/>
        <xdr:cNvSpPr/>
      </xdr:nvSpPr>
      <xdr:spPr>
        <a:xfrm>
          <a:off x="27079575" y="19463903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Y/N</a:t>
          </a:r>
        </a:p>
      </xdr:txBody>
    </xdr:sp>
    <xdr:clientData/>
  </xdr:twoCellAnchor>
  <xdr:twoCellAnchor>
    <xdr:from>
      <xdr:col>44</xdr:col>
      <xdr:colOff>371475</xdr:colOff>
      <xdr:row>100</xdr:row>
      <xdr:rowOff>156729</xdr:rowOff>
    </xdr:from>
    <xdr:to>
      <xdr:col>45</xdr:col>
      <xdr:colOff>390525</xdr:colOff>
      <xdr:row>101</xdr:row>
      <xdr:rowOff>156729</xdr:rowOff>
    </xdr:to>
    <xdr:sp macro="" textlink="">
      <xdr:nvSpPr>
        <xdr:cNvPr id="308" name="TextBox 307"/>
        <xdr:cNvSpPr txBox="1"/>
      </xdr:nvSpPr>
      <xdr:spPr>
        <a:xfrm>
          <a:off x="27193875" y="19206729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ELE</a:t>
          </a:r>
        </a:p>
      </xdr:txBody>
    </xdr:sp>
    <xdr:clientData/>
  </xdr:twoCellAnchor>
  <xdr:twoCellAnchor>
    <xdr:from>
      <xdr:col>45</xdr:col>
      <xdr:colOff>590550</xdr:colOff>
      <xdr:row>102</xdr:row>
      <xdr:rowOff>23378</xdr:rowOff>
    </xdr:from>
    <xdr:to>
      <xdr:col>46</xdr:col>
      <xdr:colOff>590550</xdr:colOff>
      <xdr:row>103</xdr:row>
      <xdr:rowOff>90053</xdr:rowOff>
    </xdr:to>
    <xdr:sp macro="" textlink="">
      <xdr:nvSpPr>
        <xdr:cNvPr id="309" name="Rectangle 308"/>
        <xdr:cNvSpPr/>
      </xdr:nvSpPr>
      <xdr:spPr>
        <a:xfrm>
          <a:off x="28022550" y="19454378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Y/N</a:t>
          </a:r>
        </a:p>
      </xdr:txBody>
    </xdr:sp>
    <xdr:clientData/>
  </xdr:twoCellAnchor>
  <xdr:twoCellAnchor>
    <xdr:from>
      <xdr:col>46</xdr:col>
      <xdr:colOff>19050</xdr:colOff>
      <xdr:row>100</xdr:row>
      <xdr:rowOff>156729</xdr:rowOff>
    </xdr:from>
    <xdr:to>
      <xdr:col>47</xdr:col>
      <xdr:colOff>38100</xdr:colOff>
      <xdr:row>101</xdr:row>
      <xdr:rowOff>156729</xdr:rowOff>
    </xdr:to>
    <xdr:sp macro="" textlink="">
      <xdr:nvSpPr>
        <xdr:cNvPr id="310" name="TextBox 309"/>
        <xdr:cNvSpPr txBox="1"/>
      </xdr:nvSpPr>
      <xdr:spPr>
        <a:xfrm>
          <a:off x="28060650" y="19206729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CIVIL</a:t>
          </a:r>
        </a:p>
      </xdr:txBody>
    </xdr:sp>
    <xdr:clientData/>
  </xdr:twoCellAnchor>
  <xdr:twoCellAnchor>
    <xdr:from>
      <xdr:col>42</xdr:col>
      <xdr:colOff>514350</xdr:colOff>
      <xdr:row>105</xdr:row>
      <xdr:rowOff>23379</xdr:rowOff>
    </xdr:from>
    <xdr:to>
      <xdr:col>43</xdr:col>
      <xdr:colOff>390525</xdr:colOff>
      <xdr:row>107</xdr:row>
      <xdr:rowOff>4329</xdr:rowOff>
    </xdr:to>
    <xdr:sp macro="" textlink="">
      <xdr:nvSpPr>
        <xdr:cNvPr id="311" name="Rectangle 310"/>
        <xdr:cNvSpPr/>
      </xdr:nvSpPr>
      <xdr:spPr>
        <a:xfrm>
          <a:off x="26117550" y="20025879"/>
          <a:ext cx="485775" cy="3619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IOM</a:t>
          </a:r>
        </a:p>
      </xdr:txBody>
    </xdr:sp>
    <xdr:clientData/>
  </xdr:twoCellAnchor>
  <xdr:twoCellAnchor>
    <xdr:from>
      <xdr:col>44</xdr:col>
      <xdr:colOff>285750</xdr:colOff>
      <xdr:row>105</xdr:row>
      <xdr:rowOff>51954</xdr:rowOff>
    </xdr:from>
    <xdr:to>
      <xdr:col>45</xdr:col>
      <xdr:colOff>161925</xdr:colOff>
      <xdr:row>107</xdr:row>
      <xdr:rowOff>32904</xdr:rowOff>
    </xdr:to>
    <xdr:sp macro="" textlink="">
      <xdr:nvSpPr>
        <xdr:cNvPr id="312" name="Rectangle 311"/>
        <xdr:cNvSpPr/>
      </xdr:nvSpPr>
      <xdr:spPr>
        <a:xfrm>
          <a:off x="27108150" y="20054454"/>
          <a:ext cx="485775" cy="3619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IOM</a:t>
          </a:r>
        </a:p>
      </xdr:txBody>
    </xdr:sp>
    <xdr:clientData/>
  </xdr:twoCellAnchor>
  <xdr:twoCellAnchor>
    <xdr:from>
      <xdr:col>46</xdr:col>
      <xdr:colOff>47625</xdr:colOff>
      <xdr:row>105</xdr:row>
      <xdr:rowOff>42429</xdr:rowOff>
    </xdr:from>
    <xdr:to>
      <xdr:col>46</xdr:col>
      <xdr:colOff>533400</xdr:colOff>
      <xdr:row>107</xdr:row>
      <xdr:rowOff>23379</xdr:rowOff>
    </xdr:to>
    <xdr:sp macro="" textlink="">
      <xdr:nvSpPr>
        <xdr:cNvPr id="313" name="Rectangle 312"/>
        <xdr:cNvSpPr/>
      </xdr:nvSpPr>
      <xdr:spPr>
        <a:xfrm>
          <a:off x="28089225" y="20044929"/>
          <a:ext cx="485775" cy="3619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IOM</a:t>
          </a:r>
        </a:p>
      </xdr:txBody>
    </xdr:sp>
    <xdr:clientData/>
  </xdr:twoCellAnchor>
  <xdr:twoCellAnchor>
    <xdr:from>
      <xdr:col>42</xdr:col>
      <xdr:colOff>439275</xdr:colOff>
      <xdr:row>115</xdr:row>
      <xdr:rowOff>166254</xdr:rowOff>
    </xdr:from>
    <xdr:to>
      <xdr:col>47</xdr:col>
      <xdr:colOff>158007</xdr:colOff>
      <xdr:row>128</xdr:row>
      <xdr:rowOff>149680</xdr:rowOff>
    </xdr:to>
    <xdr:sp macro="" textlink="">
      <xdr:nvSpPr>
        <xdr:cNvPr id="320" name="Rectangle 319"/>
        <xdr:cNvSpPr/>
      </xdr:nvSpPr>
      <xdr:spPr>
        <a:xfrm>
          <a:off x="26156775" y="22073754"/>
          <a:ext cx="2780339" cy="245992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44</xdr:col>
      <xdr:colOff>326655</xdr:colOff>
      <xdr:row>119</xdr:row>
      <xdr:rowOff>13853</xdr:rowOff>
    </xdr:from>
    <xdr:to>
      <xdr:col>45</xdr:col>
      <xdr:colOff>326655</xdr:colOff>
      <xdr:row>120</xdr:row>
      <xdr:rowOff>80528</xdr:rowOff>
    </xdr:to>
    <xdr:sp macro="" textlink="">
      <xdr:nvSpPr>
        <xdr:cNvPr id="321" name="Rectangle 320"/>
        <xdr:cNvSpPr/>
      </xdr:nvSpPr>
      <xdr:spPr>
        <a:xfrm>
          <a:off x="27149055" y="22683353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DATE</a:t>
          </a:r>
        </a:p>
      </xdr:txBody>
    </xdr:sp>
    <xdr:clientData/>
  </xdr:twoCellAnchor>
  <xdr:twoCellAnchor>
    <xdr:from>
      <xdr:col>44</xdr:col>
      <xdr:colOff>240930</xdr:colOff>
      <xdr:row>117</xdr:row>
      <xdr:rowOff>147204</xdr:rowOff>
    </xdr:from>
    <xdr:to>
      <xdr:col>45</xdr:col>
      <xdr:colOff>579348</xdr:colOff>
      <xdr:row>118</xdr:row>
      <xdr:rowOff>128154</xdr:rowOff>
    </xdr:to>
    <xdr:sp macro="" textlink="">
      <xdr:nvSpPr>
        <xdr:cNvPr id="322" name="TextBox 321"/>
        <xdr:cNvSpPr txBox="1"/>
      </xdr:nvSpPr>
      <xdr:spPr>
        <a:xfrm>
          <a:off x="27063330" y="22435704"/>
          <a:ext cx="94801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SITE VISIT</a:t>
          </a:r>
        </a:p>
      </xdr:txBody>
    </xdr:sp>
    <xdr:clientData/>
  </xdr:twoCellAnchor>
  <xdr:twoCellAnchor>
    <xdr:from>
      <xdr:col>43</xdr:col>
      <xdr:colOff>393330</xdr:colOff>
      <xdr:row>116</xdr:row>
      <xdr:rowOff>90054</xdr:rowOff>
    </xdr:from>
    <xdr:to>
      <xdr:col>47</xdr:col>
      <xdr:colOff>326654</xdr:colOff>
      <xdr:row>117</xdr:row>
      <xdr:rowOff>109104</xdr:rowOff>
    </xdr:to>
    <xdr:sp macro="" textlink="">
      <xdr:nvSpPr>
        <xdr:cNvPr id="323" name="TextBox 322"/>
        <xdr:cNvSpPr txBox="1"/>
      </xdr:nvSpPr>
      <xdr:spPr>
        <a:xfrm>
          <a:off x="26606130" y="22188054"/>
          <a:ext cx="2371724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r>
            <a:rPr lang="en-IN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MATERIAL REQUIREMENT</a:t>
          </a:r>
        </a:p>
      </xdr:txBody>
    </xdr:sp>
    <xdr:clientData/>
  </xdr:twoCellAnchor>
  <xdr:twoCellAnchor>
    <xdr:from>
      <xdr:col>44</xdr:col>
      <xdr:colOff>7848</xdr:colOff>
      <xdr:row>121</xdr:row>
      <xdr:rowOff>137679</xdr:rowOff>
    </xdr:from>
    <xdr:to>
      <xdr:col>46</xdr:col>
      <xdr:colOff>164731</xdr:colOff>
      <xdr:row>123</xdr:row>
      <xdr:rowOff>156729</xdr:rowOff>
    </xdr:to>
    <xdr:sp macro="" textlink="">
      <xdr:nvSpPr>
        <xdr:cNvPr id="324" name="Rectangle 323"/>
        <xdr:cNvSpPr/>
      </xdr:nvSpPr>
      <xdr:spPr>
        <a:xfrm>
          <a:off x="26830248" y="23188179"/>
          <a:ext cx="1376083" cy="4000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ENTER MAT DATA</a:t>
          </a:r>
        </a:p>
      </xdr:txBody>
    </xdr:sp>
    <xdr:clientData/>
  </xdr:twoCellAnchor>
  <xdr:twoCellAnchor>
    <xdr:from>
      <xdr:col>48</xdr:col>
      <xdr:colOff>67799</xdr:colOff>
      <xdr:row>117</xdr:row>
      <xdr:rowOff>13853</xdr:rowOff>
    </xdr:from>
    <xdr:to>
      <xdr:col>56</xdr:col>
      <xdr:colOff>591674</xdr:colOff>
      <xdr:row>125</xdr:row>
      <xdr:rowOff>118628</xdr:rowOff>
    </xdr:to>
    <xdr:sp macro="" textlink="">
      <xdr:nvSpPr>
        <xdr:cNvPr id="325" name="Rectangle 324"/>
        <xdr:cNvSpPr/>
      </xdr:nvSpPr>
      <xdr:spPr>
        <a:xfrm>
          <a:off x="29328599" y="22302353"/>
          <a:ext cx="5400675" cy="16287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48</xdr:col>
      <xdr:colOff>240930</xdr:colOff>
      <xdr:row>119</xdr:row>
      <xdr:rowOff>23379</xdr:rowOff>
    </xdr:from>
    <xdr:to>
      <xdr:col>49</xdr:col>
      <xdr:colOff>440956</xdr:colOff>
      <xdr:row>120</xdr:row>
      <xdr:rowOff>32905</xdr:rowOff>
    </xdr:to>
    <xdr:sp macro="" textlink="">
      <xdr:nvSpPr>
        <xdr:cNvPr id="326" name="TextBox 325"/>
        <xdr:cNvSpPr txBox="1"/>
      </xdr:nvSpPr>
      <xdr:spPr>
        <a:xfrm>
          <a:off x="29501730" y="22692879"/>
          <a:ext cx="809626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ITEM ID</a:t>
          </a:r>
        </a:p>
      </xdr:txBody>
    </xdr:sp>
    <xdr:clientData/>
  </xdr:twoCellAnchor>
  <xdr:twoCellAnchor>
    <xdr:from>
      <xdr:col>50</xdr:col>
      <xdr:colOff>17373</xdr:colOff>
      <xdr:row>119</xdr:row>
      <xdr:rowOff>32904</xdr:rowOff>
    </xdr:from>
    <xdr:to>
      <xdr:col>51</xdr:col>
      <xdr:colOff>221881</xdr:colOff>
      <xdr:row>120</xdr:row>
      <xdr:rowOff>42430</xdr:rowOff>
    </xdr:to>
    <xdr:sp macro="" textlink="">
      <xdr:nvSpPr>
        <xdr:cNvPr id="327" name="TextBox 326"/>
        <xdr:cNvSpPr txBox="1"/>
      </xdr:nvSpPr>
      <xdr:spPr>
        <a:xfrm>
          <a:off x="30497373" y="22702404"/>
          <a:ext cx="814108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DESCRIPT</a:t>
          </a:r>
        </a:p>
      </xdr:txBody>
    </xdr:sp>
    <xdr:clientData/>
  </xdr:twoCellAnchor>
  <xdr:twoCellAnchor>
    <xdr:from>
      <xdr:col>51</xdr:col>
      <xdr:colOff>460006</xdr:colOff>
      <xdr:row>119</xdr:row>
      <xdr:rowOff>32904</xdr:rowOff>
    </xdr:from>
    <xdr:to>
      <xdr:col>53</xdr:col>
      <xdr:colOff>45948</xdr:colOff>
      <xdr:row>120</xdr:row>
      <xdr:rowOff>42430</xdr:rowOff>
    </xdr:to>
    <xdr:sp macro="" textlink="">
      <xdr:nvSpPr>
        <xdr:cNvPr id="328" name="TextBox 327"/>
        <xdr:cNvSpPr txBox="1"/>
      </xdr:nvSpPr>
      <xdr:spPr>
        <a:xfrm>
          <a:off x="31549606" y="22702404"/>
          <a:ext cx="805142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REQ QTY</a:t>
          </a:r>
        </a:p>
      </xdr:txBody>
    </xdr:sp>
    <xdr:clientData/>
  </xdr:twoCellAnchor>
  <xdr:twoCellAnchor>
    <xdr:from>
      <xdr:col>53</xdr:col>
      <xdr:colOff>293598</xdr:colOff>
      <xdr:row>119</xdr:row>
      <xdr:rowOff>61479</xdr:rowOff>
    </xdr:from>
    <xdr:to>
      <xdr:col>55</xdr:col>
      <xdr:colOff>133350</xdr:colOff>
      <xdr:row>120</xdr:row>
      <xdr:rowOff>28575</xdr:rowOff>
    </xdr:to>
    <xdr:sp macro="" textlink="">
      <xdr:nvSpPr>
        <xdr:cNvPr id="330" name="TextBox 329"/>
        <xdr:cNvSpPr txBox="1"/>
      </xdr:nvSpPr>
      <xdr:spPr>
        <a:xfrm>
          <a:off x="32602398" y="22730979"/>
          <a:ext cx="1058952" cy="157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Avaliable Qty</a:t>
          </a:r>
        </a:p>
      </xdr:txBody>
    </xdr:sp>
    <xdr:clientData/>
  </xdr:twoCellAnchor>
  <xdr:twoCellAnchor>
    <xdr:from>
      <xdr:col>48</xdr:col>
      <xdr:colOff>355230</xdr:colOff>
      <xdr:row>120</xdr:row>
      <xdr:rowOff>137678</xdr:rowOff>
    </xdr:from>
    <xdr:to>
      <xdr:col>49</xdr:col>
      <xdr:colOff>355231</xdr:colOff>
      <xdr:row>122</xdr:row>
      <xdr:rowOff>13853</xdr:rowOff>
    </xdr:to>
    <xdr:sp macro="" textlink="">
      <xdr:nvSpPr>
        <xdr:cNvPr id="331" name="Rectangle 330"/>
        <xdr:cNvSpPr/>
      </xdr:nvSpPr>
      <xdr:spPr>
        <a:xfrm>
          <a:off x="29616030" y="22997678"/>
          <a:ext cx="609601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136155</xdr:colOff>
      <xdr:row>120</xdr:row>
      <xdr:rowOff>137678</xdr:rowOff>
    </xdr:from>
    <xdr:to>
      <xdr:col>51</xdr:col>
      <xdr:colOff>136156</xdr:colOff>
      <xdr:row>122</xdr:row>
      <xdr:rowOff>13853</xdr:rowOff>
    </xdr:to>
    <xdr:sp macro="" textlink="">
      <xdr:nvSpPr>
        <xdr:cNvPr id="332" name="Rectangle 331"/>
        <xdr:cNvSpPr/>
      </xdr:nvSpPr>
      <xdr:spPr>
        <a:xfrm>
          <a:off x="30616155" y="22997678"/>
          <a:ext cx="609601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51</xdr:col>
      <xdr:colOff>569823</xdr:colOff>
      <xdr:row>120</xdr:row>
      <xdr:rowOff>137678</xdr:rowOff>
    </xdr:from>
    <xdr:to>
      <xdr:col>52</xdr:col>
      <xdr:colOff>569823</xdr:colOff>
      <xdr:row>122</xdr:row>
      <xdr:rowOff>13853</xdr:rowOff>
    </xdr:to>
    <xdr:sp macro="" textlink="">
      <xdr:nvSpPr>
        <xdr:cNvPr id="333" name="Rectangle 332"/>
        <xdr:cNvSpPr/>
      </xdr:nvSpPr>
      <xdr:spPr>
        <a:xfrm>
          <a:off x="31659423" y="22997678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53</xdr:col>
      <xdr:colOff>402855</xdr:colOff>
      <xdr:row>120</xdr:row>
      <xdr:rowOff>137678</xdr:rowOff>
    </xdr:from>
    <xdr:to>
      <xdr:col>54</xdr:col>
      <xdr:colOff>561975</xdr:colOff>
      <xdr:row>122</xdr:row>
      <xdr:rowOff>13853</xdr:rowOff>
    </xdr:to>
    <xdr:sp macro="" textlink="">
      <xdr:nvSpPr>
        <xdr:cNvPr id="335" name="Rectangle 334"/>
        <xdr:cNvSpPr/>
      </xdr:nvSpPr>
      <xdr:spPr>
        <a:xfrm>
          <a:off x="32711655" y="22997678"/>
          <a:ext cx="76872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55</xdr:col>
      <xdr:colOff>193305</xdr:colOff>
      <xdr:row>123</xdr:row>
      <xdr:rowOff>51953</xdr:rowOff>
    </xdr:from>
    <xdr:to>
      <xdr:col>56</xdr:col>
      <xdr:colOff>250455</xdr:colOff>
      <xdr:row>125</xdr:row>
      <xdr:rowOff>61478</xdr:rowOff>
    </xdr:to>
    <xdr:sp macro="" textlink="">
      <xdr:nvSpPr>
        <xdr:cNvPr id="336" name="Rectangle 335"/>
        <xdr:cNvSpPr/>
      </xdr:nvSpPr>
      <xdr:spPr>
        <a:xfrm>
          <a:off x="33721305" y="23483453"/>
          <a:ext cx="666750" cy="3905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51</xdr:col>
      <xdr:colOff>440956</xdr:colOff>
      <xdr:row>130</xdr:row>
      <xdr:rowOff>137679</xdr:rowOff>
    </xdr:from>
    <xdr:to>
      <xdr:col>54</xdr:col>
      <xdr:colOff>145681</xdr:colOff>
      <xdr:row>136</xdr:row>
      <xdr:rowOff>32904</xdr:rowOff>
    </xdr:to>
    <xdr:sp macro="" textlink="">
      <xdr:nvSpPr>
        <xdr:cNvPr id="337" name="Flowchart: Decision 336"/>
        <xdr:cNvSpPr/>
      </xdr:nvSpPr>
      <xdr:spPr>
        <a:xfrm>
          <a:off x="31530556" y="24902679"/>
          <a:ext cx="1533525" cy="1038225"/>
        </a:xfrm>
        <a:prstGeom prst="flowChartDecision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</a:t>
          </a:r>
        </a:p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ADD</a:t>
          </a:r>
          <a:r>
            <a:rPr lang="en-IN" sz="1100" b="1" baseline="0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 ROW </a:t>
          </a:r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=  TRUE</a:t>
          </a:r>
          <a:endParaRPr lang="en-IN" sz="1100"/>
        </a:p>
      </xdr:txBody>
    </xdr:sp>
    <xdr:clientData/>
  </xdr:twoCellAnchor>
  <xdr:twoCellAnchor>
    <xdr:from>
      <xdr:col>51</xdr:col>
      <xdr:colOff>402856</xdr:colOff>
      <xdr:row>127</xdr:row>
      <xdr:rowOff>80529</xdr:rowOff>
    </xdr:from>
    <xdr:to>
      <xdr:col>53</xdr:col>
      <xdr:colOff>550773</xdr:colOff>
      <xdr:row>129</xdr:row>
      <xdr:rowOff>99579</xdr:rowOff>
    </xdr:to>
    <xdr:sp macro="" textlink="">
      <xdr:nvSpPr>
        <xdr:cNvPr id="338" name="Rectangle 337"/>
        <xdr:cNvSpPr/>
      </xdr:nvSpPr>
      <xdr:spPr>
        <a:xfrm>
          <a:off x="31492456" y="24274029"/>
          <a:ext cx="1367117" cy="4000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ADD ROW </a:t>
          </a:r>
        </a:p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Y/N</a:t>
          </a:r>
        </a:p>
      </xdr:txBody>
    </xdr:sp>
    <xdr:clientData/>
  </xdr:twoCellAnchor>
  <xdr:twoCellAnchor>
    <xdr:from>
      <xdr:col>43</xdr:col>
      <xdr:colOff>598398</xdr:colOff>
      <xdr:row>124</xdr:row>
      <xdr:rowOff>147204</xdr:rowOff>
    </xdr:from>
    <xdr:to>
      <xdr:col>46</xdr:col>
      <xdr:colOff>145681</xdr:colOff>
      <xdr:row>126</xdr:row>
      <xdr:rowOff>166254</xdr:rowOff>
    </xdr:to>
    <xdr:sp macro="" textlink="">
      <xdr:nvSpPr>
        <xdr:cNvPr id="339" name="Rectangle 338"/>
        <xdr:cNvSpPr/>
      </xdr:nvSpPr>
      <xdr:spPr>
        <a:xfrm>
          <a:off x="26811198" y="23769204"/>
          <a:ext cx="1376083" cy="4000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EDIT MAT DATA</a:t>
          </a:r>
        </a:p>
      </xdr:txBody>
    </xdr:sp>
    <xdr:clientData/>
  </xdr:twoCellAnchor>
  <xdr:twoCellAnchor>
    <xdr:from>
      <xdr:col>42</xdr:col>
      <xdr:colOff>78922</xdr:colOff>
      <xdr:row>159</xdr:row>
      <xdr:rowOff>185304</xdr:rowOff>
    </xdr:from>
    <xdr:to>
      <xdr:col>46</xdr:col>
      <xdr:colOff>402772</xdr:colOff>
      <xdr:row>172</xdr:row>
      <xdr:rowOff>90054</xdr:rowOff>
    </xdr:to>
    <xdr:sp macro="" textlink="">
      <xdr:nvSpPr>
        <xdr:cNvPr id="340" name="Rectangle 339"/>
        <xdr:cNvSpPr/>
      </xdr:nvSpPr>
      <xdr:spPr>
        <a:xfrm>
          <a:off x="25796422" y="30474804"/>
          <a:ext cx="2773136" cy="23812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43</xdr:col>
      <xdr:colOff>345621</xdr:colOff>
      <xdr:row>161</xdr:row>
      <xdr:rowOff>90054</xdr:rowOff>
    </xdr:from>
    <xdr:to>
      <xdr:col>45</xdr:col>
      <xdr:colOff>450397</xdr:colOff>
      <xdr:row>162</xdr:row>
      <xdr:rowOff>80529</xdr:rowOff>
    </xdr:to>
    <xdr:sp macro="" textlink="">
      <xdr:nvSpPr>
        <xdr:cNvPr id="341" name="TextBox 340"/>
        <xdr:cNvSpPr txBox="1"/>
      </xdr:nvSpPr>
      <xdr:spPr>
        <a:xfrm>
          <a:off x="26675442" y="30760554"/>
          <a:ext cx="132941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r>
            <a:rPr lang="en-IN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EQUIPMENT</a:t>
          </a:r>
        </a:p>
      </xdr:txBody>
    </xdr:sp>
    <xdr:clientData/>
  </xdr:twoCellAnchor>
  <xdr:twoCellAnchor>
    <xdr:from>
      <xdr:col>42</xdr:col>
      <xdr:colOff>145596</xdr:colOff>
      <xdr:row>163</xdr:row>
      <xdr:rowOff>128154</xdr:rowOff>
    </xdr:from>
    <xdr:to>
      <xdr:col>43</xdr:col>
      <xdr:colOff>345621</xdr:colOff>
      <xdr:row>164</xdr:row>
      <xdr:rowOff>137680</xdr:rowOff>
    </xdr:to>
    <xdr:sp macro="" textlink="">
      <xdr:nvSpPr>
        <xdr:cNvPr id="342" name="TextBox 341"/>
        <xdr:cNvSpPr txBox="1"/>
      </xdr:nvSpPr>
      <xdr:spPr>
        <a:xfrm>
          <a:off x="25863096" y="31179654"/>
          <a:ext cx="812346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STATIC</a:t>
          </a:r>
        </a:p>
      </xdr:txBody>
    </xdr:sp>
    <xdr:clientData/>
  </xdr:twoCellAnchor>
  <xdr:twoCellAnchor>
    <xdr:from>
      <xdr:col>42</xdr:col>
      <xdr:colOff>259896</xdr:colOff>
      <xdr:row>165</xdr:row>
      <xdr:rowOff>51953</xdr:rowOff>
    </xdr:from>
    <xdr:to>
      <xdr:col>43</xdr:col>
      <xdr:colOff>297996</xdr:colOff>
      <xdr:row>166</xdr:row>
      <xdr:rowOff>118628</xdr:rowOff>
    </xdr:to>
    <xdr:sp macro="" textlink="">
      <xdr:nvSpPr>
        <xdr:cNvPr id="343" name="Rectangle 342"/>
        <xdr:cNvSpPr/>
      </xdr:nvSpPr>
      <xdr:spPr>
        <a:xfrm>
          <a:off x="25977396" y="31484453"/>
          <a:ext cx="650421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QOT DT</a:t>
          </a:r>
        </a:p>
      </xdr:txBody>
    </xdr:sp>
    <xdr:clientData/>
  </xdr:twoCellAnchor>
  <xdr:twoCellAnchor>
    <xdr:from>
      <xdr:col>44</xdr:col>
      <xdr:colOff>374196</xdr:colOff>
      <xdr:row>163</xdr:row>
      <xdr:rowOff>128154</xdr:rowOff>
    </xdr:from>
    <xdr:to>
      <xdr:col>45</xdr:col>
      <xdr:colOff>576943</xdr:colOff>
      <xdr:row>164</xdr:row>
      <xdr:rowOff>137680</xdr:rowOff>
    </xdr:to>
    <xdr:sp macro="" textlink="">
      <xdr:nvSpPr>
        <xdr:cNvPr id="344" name="TextBox 343"/>
        <xdr:cNvSpPr txBox="1"/>
      </xdr:nvSpPr>
      <xdr:spPr>
        <a:xfrm>
          <a:off x="27316339" y="31179654"/>
          <a:ext cx="815068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ROTARY</a:t>
          </a:r>
        </a:p>
      </xdr:txBody>
    </xdr:sp>
    <xdr:clientData/>
  </xdr:twoCellAnchor>
  <xdr:twoCellAnchor>
    <xdr:from>
      <xdr:col>44</xdr:col>
      <xdr:colOff>488496</xdr:colOff>
      <xdr:row>165</xdr:row>
      <xdr:rowOff>51953</xdr:rowOff>
    </xdr:from>
    <xdr:to>
      <xdr:col>45</xdr:col>
      <xdr:colOff>507546</xdr:colOff>
      <xdr:row>166</xdr:row>
      <xdr:rowOff>118628</xdr:rowOff>
    </xdr:to>
    <xdr:sp macro="" textlink="">
      <xdr:nvSpPr>
        <xdr:cNvPr id="345" name="Rectangle 344"/>
        <xdr:cNvSpPr/>
      </xdr:nvSpPr>
      <xdr:spPr>
        <a:xfrm>
          <a:off x="27430639" y="31484453"/>
          <a:ext cx="631371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QOT DT</a:t>
          </a:r>
        </a:p>
      </xdr:txBody>
    </xdr:sp>
    <xdr:clientData/>
  </xdr:twoCellAnchor>
  <xdr:twoCellAnchor>
    <xdr:from>
      <xdr:col>42</xdr:col>
      <xdr:colOff>259896</xdr:colOff>
      <xdr:row>167</xdr:row>
      <xdr:rowOff>185303</xdr:rowOff>
    </xdr:from>
    <xdr:to>
      <xdr:col>43</xdr:col>
      <xdr:colOff>297996</xdr:colOff>
      <xdr:row>169</xdr:row>
      <xdr:rowOff>61478</xdr:rowOff>
    </xdr:to>
    <xdr:sp macro="" textlink="">
      <xdr:nvSpPr>
        <xdr:cNvPr id="346" name="Rectangle 345"/>
        <xdr:cNvSpPr/>
      </xdr:nvSpPr>
      <xdr:spPr>
        <a:xfrm>
          <a:off x="25977396" y="31998803"/>
          <a:ext cx="650421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COST</a:t>
          </a:r>
        </a:p>
      </xdr:txBody>
    </xdr:sp>
    <xdr:clientData/>
  </xdr:twoCellAnchor>
  <xdr:twoCellAnchor>
    <xdr:from>
      <xdr:col>44</xdr:col>
      <xdr:colOff>488496</xdr:colOff>
      <xdr:row>167</xdr:row>
      <xdr:rowOff>185303</xdr:rowOff>
    </xdr:from>
    <xdr:to>
      <xdr:col>45</xdr:col>
      <xdr:colOff>507546</xdr:colOff>
      <xdr:row>169</xdr:row>
      <xdr:rowOff>61478</xdr:rowOff>
    </xdr:to>
    <xdr:sp macro="" textlink="">
      <xdr:nvSpPr>
        <xdr:cNvPr id="347" name="Rectangle 346"/>
        <xdr:cNvSpPr/>
      </xdr:nvSpPr>
      <xdr:spPr>
        <a:xfrm>
          <a:off x="27430639" y="31998803"/>
          <a:ext cx="631371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COST</a:t>
          </a:r>
        </a:p>
      </xdr:txBody>
    </xdr:sp>
    <xdr:clientData/>
  </xdr:twoCellAnchor>
  <xdr:twoCellAnchor>
    <xdr:from>
      <xdr:col>41</xdr:col>
      <xdr:colOff>191861</xdr:colOff>
      <xdr:row>179</xdr:row>
      <xdr:rowOff>166216</xdr:rowOff>
    </xdr:from>
    <xdr:to>
      <xdr:col>47</xdr:col>
      <xdr:colOff>182336</xdr:colOff>
      <xdr:row>185</xdr:row>
      <xdr:rowOff>61441</xdr:rowOff>
    </xdr:to>
    <xdr:sp macro="" textlink="">
      <xdr:nvSpPr>
        <xdr:cNvPr id="348" name="Rectangle 347"/>
        <xdr:cNvSpPr/>
      </xdr:nvSpPr>
      <xdr:spPr>
        <a:xfrm>
          <a:off x="25297040" y="34265716"/>
          <a:ext cx="3664403" cy="10382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41</xdr:col>
      <xdr:colOff>420461</xdr:colOff>
      <xdr:row>181</xdr:row>
      <xdr:rowOff>175741</xdr:rowOff>
    </xdr:from>
    <xdr:to>
      <xdr:col>41</xdr:col>
      <xdr:colOff>594631</xdr:colOff>
      <xdr:row>182</xdr:row>
      <xdr:rowOff>147166</xdr:rowOff>
    </xdr:to>
    <xdr:sp macro="" textlink="">
      <xdr:nvSpPr>
        <xdr:cNvPr id="349" name="Flowchart: Connector 348"/>
        <xdr:cNvSpPr/>
      </xdr:nvSpPr>
      <xdr:spPr>
        <a:xfrm>
          <a:off x="25525640" y="34656241"/>
          <a:ext cx="174170" cy="161925"/>
        </a:xfrm>
        <a:prstGeom prst="flowChartConnector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42</xdr:col>
      <xdr:colOff>20411</xdr:colOff>
      <xdr:row>181</xdr:row>
      <xdr:rowOff>137642</xdr:rowOff>
    </xdr:from>
    <xdr:to>
      <xdr:col>43</xdr:col>
      <xdr:colOff>527958</xdr:colOff>
      <xdr:row>182</xdr:row>
      <xdr:rowOff>166218</xdr:rowOff>
    </xdr:to>
    <xdr:sp macro="" textlink="">
      <xdr:nvSpPr>
        <xdr:cNvPr id="350" name="TextBox 349"/>
        <xdr:cNvSpPr txBox="1"/>
      </xdr:nvSpPr>
      <xdr:spPr>
        <a:xfrm>
          <a:off x="25737911" y="34618142"/>
          <a:ext cx="1119868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INCOMPLETE</a:t>
          </a:r>
        </a:p>
      </xdr:txBody>
    </xdr:sp>
    <xdr:clientData/>
  </xdr:twoCellAnchor>
  <xdr:twoCellAnchor>
    <xdr:from>
      <xdr:col>44</xdr:col>
      <xdr:colOff>277586</xdr:colOff>
      <xdr:row>181</xdr:row>
      <xdr:rowOff>175741</xdr:rowOff>
    </xdr:from>
    <xdr:to>
      <xdr:col>44</xdr:col>
      <xdr:colOff>449035</xdr:colOff>
      <xdr:row>182</xdr:row>
      <xdr:rowOff>147166</xdr:rowOff>
    </xdr:to>
    <xdr:sp macro="" textlink="">
      <xdr:nvSpPr>
        <xdr:cNvPr id="351" name="Flowchart: Connector 350"/>
        <xdr:cNvSpPr/>
      </xdr:nvSpPr>
      <xdr:spPr>
        <a:xfrm>
          <a:off x="27219729" y="34656241"/>
          <a:ext cx="171449" cy="161925"/>
        </a:xfrm>
        <a:prstGeom prst="flowChartConnector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44</xdr:col>
      <xdr:colOff>489857</xdr:colOff>
      <xdr:row>181</xdr:row>
      <xdr:rowOff>137642</xdr:rowOff>
    </xdr:from>
    <xdr:to>
      <xdr:col>46</xdr:col>
      <xdr:colOff>382361</xdr:colOff>
      <xdr:row>182</xdr:row>
      <xdr:rowOff>166218</xdr:rowOff>
    </xdr:to>
    <xdr:sp macro="" textlink="">
      <xdr:nvSpPr>
        <xdr:cNvPr id="352" name="TextBox 351"/>
        <xdr:cNvSpPr txBox="1"/>
      </xdr:nvSpPr>
      <xdr:spPr>
        <a:xfrm>
          <a:off x="27432000" y="34618142"/>
          <a:ext cx="1117147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COMPLETE</a:t>
          </a:r>
        </a:p>
      </xdr:txBody>
    </xdr:sp>
    <xdr:clientData/>
  </xdr:twoCellAnchor>
  <xdr:twoCellAnchor>
    <xdr:from>
      <xdr:col>46</xdr:col>
      <xdr:colOff>106136</xdr:colOff>
      <xdr:row>183</xdr:row>
      <xdr:rowOff>99542</xdr:rowOff>
    </xdr:from>
    <xdr:to>
      <xdr:col>47</xdr:col>
      <xdr:colOff>29936</xdr:colOff>
      <xdr:row>184</xdr:row>
      <xdr:rowOff>137641</xdr:rowOff>
    </xdr:to>
    <xdr:sp macro="" textlink="">
      <xdr:nvSpPr>
        <xdr:cNvPr id="353" name="Rectangle 352"/>
        <xdr:cNvSpPr/>
      </xdr:nvSpPr>
      <xdr:spPr>
        <a:xfrm>
          <a:off x="28272922" y="34961042"/>
          <a:ext cx="536121" cy="22859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42</xdr:col>
      <xdr:colOff>477611</xdr:colOff>
      <xdr:row>189</xdr:row>
      <xdr:rowOff>99542</xdr:rowOff>
    </xdr:from>
    <xdr:to>
      <xdr:col>45</xdr:col>
      <xdr:colOff>449036</xdr:colOff>
      <xdr:row>197</xdr:row>
      <xdr:rowOff>90017</xdr:rowOff>
    </xdr:to>
    <xdr:sp macro="" textlink="">
      <xdr:nvSpPr>
        <xdr:cNvPr id="354" name="Flowchart: Decision 353"/>
        <xdr:cNvSpPr/>
      </xdr:nvSpPr>
      <xdr:spPr>
        <a:xfrm>
          <a:off x="26195111" y="36104042"/>
          <a:ext cx="1808389" cy="1514475"/>
        </a:xfrm>
        <a:prstGeom prst="flowChartDecision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</a:t>
          </a:r>
        </a:p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TICK= "COMPLETE" </a:t>
          </a:r>
          <a:endParaRPr lang="en-IN" sz="1100"/>
        </a:p>
      </xdr:txBody>
    </xdr:sp>
    <xdr:clientData/>
  </xdr:twoCellAnchor>
  <xdr:twoCellAnchor>
    <xdr:from>
      <xdr:col>43</xdr:col>
      <xdr:colOff>68037</xdr:colOff>
      <xdr:row>198</xdr:row>
      <xdr:rowOff>147166</xdr:rowOff>
    </xdr:from>
    <xdr:to>
      <xdr:col>45</xdr:col>
      <xdr:colOff>153761</xdr:colOff>
      <xdr:row>200</xdr:row>
      <xdr:rowOff>128115</xdr:rowOff>
    </xdr:to>
    <xdr:sp macro="" textlink="">
      <xdr:nvSpPr>
        <xdr:cNvPr id="355" name="Rectangle 354"/>
        <xdr:cNvSpPr/>
      </xdr:nvSpPr>
      <xdr:spPr>
        <a:xfrm>
          <a:off x="26397858" y="37866166"/>
          <a:ext cx="1310367" cy="36194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1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LOCK EESHEET</a:t>
          </a:r>
        </a:p>
      </xdr:txBody>
    </xdr:sp>
    <xdr:clientData/>
  </xdr:twoCellAnchor>
  <xdr:twoCellAnchor>
    <xdr:from>
      <xdr:col>47</xdr:col>
      <xdr:colOff>115662</xdr:colOff>
      <xdr:row>192</xdr:row>
      <xdr:rowOff>90016</xdr:rowOff>
    </xdr:from>
    <xdr:to>
      <xdr:col>49</xdr:col>
      <xdr:colOff>201386</xdr:colOff>
      <xdr:row>194</xdr:row>
      <xdr:rowOff>70965</xdr:rowOff>
    </xdr:to>
    <xdr:sp macro="" textlink="">
      <xdr:nvSpPr>
        <xdr:cNvPr id="356" name="Rectangle 355"/>
        <xdr:cNvSpPr/>
      </xdr:nvSpPr>
      <xdr:spPr>
        <a:xfrm>
          <a:off x="28894769" y="36666016"/>
          <a:ext cx="1310367" cy="36194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1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UN LOCK EE SHEET</a:t>
          </a:r>
        </a:p>
      </xdr:txBody>
    </xdr:sp>
    <xdr:clientData/>
  </xdr:twoCellAnchor>
  <xdr:twoCellAnchor>
    <xdr:from>
      <xdr:col>52</xdr:col>
      <xdr:colOff>575757</xdr:colOff>
      <xdr:row>86</xdr:row>
      <xdr:rowOff>36367</xdr:rowOff>
    </xdr:from>
    <xdr:to>
      <xdr:col>57</xdr:col>
      <xdr:colOff>398648</xdr:colOff>
      <xdr:row>90</xdr:row>
      <xdr:rowOff>14035</xdr:rowOff>
    </xdr:to>
    <xdr:sp macro="" textlink="">
      <xdr:nvSpPr>
        <xdr:cNvPr id="357" name="Rectangle 356"/>
        <xdr:cNvSpPr/>
      </xdr:nvSpPr>
      <xdr:spPr>
        <a:xfrm>
          <a:off x="32274957" y="16419367"/>
          <a:ext cx="2870891" cy="73966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46</xdr:col>
      <xdr:colOff>112939</xdr:colOff>
      <xdr:row>73</xdr:row>
      <xdr:rowOff>80528</xdr:rowOff>
    </xdr:from>
    <xdr:to>
      <xdr:col>47</xdr:col>
      <xdr:colOff>167368</xdr:colOff>
      <xdr:row>75</xdr:row>
      <xdr:rowOff>90053</xdr:rowOff>
    </xdr:to>
    <xdr:sp macro="" textlink="">
      <xdr:nvSpPr>
        <xdr:cNvPr id="358" name="Rectangle 357"/>
        <xdr:cNvSpPr/>
      </xdr:nvSpPr>
      <xdr:spPr>
        <a:xfrm>
          <a:off x="28154539" y="13987028"/>
          <a:ext cx="664029" cy="3905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56</xdr:col>
      <xdr:colOff>288770</xdr:colOff>
      <xdr:row>88</xdr:row>
      <xdr:rowOff>122441</xdr:rowOff>
    </xdr:from>
    <xdr:to>
      <xdr:col>57</xdr:col>
      <xdr:colOff>262115</xdr:colOff>
      <xdr:row>89</xdr:row>
      <xdr:rowOff>166305</xdr:rowOff>
    </xdr:to>
    <xdr:sp macro="" textlink="">
      <xdr:nvSpPr>
        <xdr:cNvPr id="359" name="Rectangle 358"/>
        <xdr:cNvSpPr/>
      </xdr:nvSpPr>
      <xdr:spPr>
        <a:xfrm>
          <a:off x="34426370" y="16886441"/>
          <a:ext cx="582945" cy="234364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54</xdr:col>
      <xdr:colOff>484632</xdr:colOff>
      <xdr:row>87</xdr:row>
      <xdr:rowOff>173268</xdr:rowOff>
    </xdr:from>
    <xdr:to>
      <xdr:col>55</xdr:col>
      <xdr:colOff>476250</xdr:colOff>
      <xdr:row>89</xdr:row>
      <xdr:rowOff>0</xdr:rowOff>
    </xdr:to>
    <xdr:sp macro="" textlink="">
      <xdr:nvSpPr>
        <xdr:cNvPr id="360" name="Rectangle 359"/>
        <xdr:cNvSpPr/>
      </xdr:nvSpPr>
      <xdr:spPr>
        <a:xfrm>
          <a:off x="33403032" y="16746768"/>
          <a:ext cx="601218" cy="20773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oneCellAnchor>
    <xdr:from>
      <xdr:col>54</xdr:col>
      <xdr:colOff>460539</xdr:colOff>
      <xdr:row>86</xdr:row>
      <xdr:rowOff>94506</xdr:rowOff>
    </xdr:from>
    <xdr:ext cx="678519" cy="264560"/>
    <xdr:sp macro="" textlink="">
      <xdr:nvSpPr>
        <xdr:cNvPr id="361" name="TextBox 360"/>
        <xdr:cNvSpPr txBox="1"/>
      </xdr:nvSpPr>
      <xdr:spPr>
        <a:xfrm>
          <a:off x="33378939" y="16477506"/>
          <a:ext cx="6785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M/N-NO</a:t>
          </a:r>
        </a:p>
      </xdr:txBody>
    </xdr:sp>
    <xdr:clientData/>
  </xdr:oneCellAnchor>
  <xdr:twoCellAnchor>
    <xdr:from>
      <xdr:col>44</xdr:col>
      <xdr:colOff>457197</xdr:colOff>
      <xdr:row>19</xdr:row>
      <xdr:rowOff>137679</xdr:rowOff>
    </xdr:from>
    <xdr:to>
      <xdr:col>44</xdr:col>
      <xdr:colOff>485775</xdr:colOff>
      <xdr:row>64</xdr:row>
      <xdr:rowOff>180975</xdr:rowOff>
    </xdr:to>
    <xdr:cxnSp macro="">
      <xdr:nvCxnSpPr>
        <xdr:cNvPr id="362" name="Straight Arrow Connector 361"/>
        <xdr:cNvCxnSpPr/>
      </xdr:nvCxnSpPr>
      <xdr:spPr>
        <a:xfrm rot="16200000" flipH="1">
          <a:off x="22985988" y="8050788"/>
          <a:ext cx="8615796" cy="28578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281268</xdr:colOff>
      <xdr:row>75</xdr:row>
      <xdr:rowOff>146647</xdr:rowOff>
    </xdr:from>
    <xdr:to>
      <xdr:col>44</xdr:col>
      <xdr:colOff>289116</xdr:colOff>
      <xdr:row>78</xdr:row>
      <xdr:rowOff>181382</xdr:rowOff>
    </xdr:to>
    <xdr:cxnSp macro="">
      <xdr:nvCxnSpPr>
        <xdr:cNvPr id="363" name="Straight Arrow Connector 362"/>
        <xdr:cNvCxnSpPr/>
      </xdr:nvCxnSpPr>
      <xdr:spPr>
        <a:xfrm rot="5400000">
          <a:off x="26804474" y="14733341"/>
          <a:ext cx="606235" cy="7848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372035</xdr:colOff>
      <xdr:row>81</xdr:row>
      <xdr:rowOff>139922</xdr:rowOff>
    </xdr:from>
    <xdr:to>
      <xdr:col>42</xdr:col>
      <xdr:colOff>377638</xdr:colOff>
      <xdr:row>85</xdr:row>
      <xdr:rowOff>188105</xdr:rowOff>
    </xdr:to>
    <xdr:cxnSp macro="">
      <xdr:nvCxnSpPr>
        <xdr:cNvPr id="364" name="Straight Arrow Connector 363"/>
        <xdr:cNvCxnSpPr/>
      </xdr:nvCxnSpPr>
      <xdr:spPr>
        <a:xfrm rot="16200000" flipH="1">
          <a:off x="25572945" y="15972712"/>
          <a:ext cx="810183" cy="5603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350744</xdr:colOff>
      <xdr:row>81</xdr:row>
      <xdr:rowOff>117511</xdr:rowOff>
    </xdr:from>
    <xdr:to>
      <xdr:col>46</xdr:col>
      <xdr:colOff>360830</xdr:colOff>
      <xdr:row>85</xdr:row>
      <xdr:rowOff>172419</xdr:rowOff>
    </xdr:to>
    <xdr:cxnSp macro="">
      <xdr:nvCxnSpPr>
        <xdr:cNvPr id="365" name="Straight Arrow Connector 364"/>
        <xdr:cNvCxnSpPr/>
      </xdr:nvCxnSpPr>
      <xdr:spPr>
        <a:xfrm rot="5400000">
          <a:off x="27988933" y="15951422"/>
          <a:ext cx="816908" cy="10086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360829</xdr:colOff>
      <xdr:row>81</xdr:row>
      <xdr:rowOff>123392</xdr:rowOff>
    </xdr:from>
    <xdr:to>
      <xdr:col>43</xdr:col>
      <xdr:colOff>114300</xdr:colOff>
      <xdr:row>81</xdr:row>
      <xdr:rowOff>128714</xdr:rowOff>
    </xdr:to>
    <xdr:cxnSp macro="">
      <xdr:nvCxnSpPr>
        <xdr:cNvPr id="366" name="Straight Connector 365"/>
        <xdr:cNvCxnSpPr>
          <a:stCxn id="300" idx="1"/>
        </xdr:cNvCxnSpPr>
      </xdr:nvCxnSpPr>
      <xdr:spPr>
        <a:xfrm rot="10800000" flipV="1">
          <a:off x="25964029" y="15553892"/>
          <a:ext cx="363071" cy="532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401171</xdr:colOff>
      <xdr:row>81</xdr:row>
      <xdr:rowOff>117508</xdr:rowOff>
    </xdr:from>
    <xdr:to>
      <xdr:col>46</xdr:col>
      <xdr:colOff>360831</xdr:colOff>
      <xdr:row>81</xdr:row>
      <xdr:rowOff>124230</xdr:rowOff>
    </xdr:to>
    <xdr:cxnSp macro="">
      <xdr:nvCxnSpPr>
        <xdr:cNvPr id="367" name="Straight Connector 366"/>
        <xdr:cNvCxnSpPr/>
      </xdr:nvCxnSpPr>
      <xdr:spPr>
        <a:xfrm rot="10800000" flipV="1">
          <a:off x="27833171" y="15548008"/>
          <a:ext cx="569260" cy="672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40620</xdr:colOff>
      <xdr:row>90</xdr:row>
      <xdr:rowOff>71004</xdr:rowOff>
    </xdr:from>
    <xdr:to>
      <xdr:col>43</xdr:col>
      <xdr:colOff>42582</xdr:colOff>
      <xdr:row>93</xdr:row>
      <xdr:rowOff>173538</xdr:rowOff>
    </xdr:to>
    <xdr:cxnSp macro="">
      <xdr:nvCxnSpPr>
        <xdr:cNvPr id="368" name="Straight Connector 367"/>
        <xdr:cNvCxnSpPr>
          <a:stCxn id="301" idx="2"/>
        </xdr:cNvCxnSpPr>
      </xdr:nvCxnSpPr>
      <xdr:spPr>
        <a:xfrm rot="16200000" flipH="1">
          <a:off x="25917384" y="17552040"/>
          <a:ext cx="674034" cy="196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331974</xdr:colOff>
      <xdr:row>90</xdr:row>
      <xdr:rowOff>100140</xdr:rowOff>
    </xdr:from>
    <xdr:to>
      <xdr:col>46</xdr:col>
      <xdr:colOff>333936</xdr:colOff>
      <xdr:row>94</xdr:row>
      <xdr:rowOff>12174</xdr:rowOff>
    </xdr:to>
    <xdr:cxnSp macro="">
      <xdr:nvCxnSpPr>
        <xdr:cNvPr id="369" name="Straight Connector 368"/>
        <xdr:cNvCxnSpPr/>
      </xdr:nvCxnSpPr>
      <xdr:spPr>
        <a:xfrm rot="16200000" flipH="1">
          <a:off x="28037538" y="17581176"/>
          <a:ext cx="674034" cy="196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42582</xdr:colOff>
      <xdr:row>93</xdr:row>
      <xdr:rowOff>173538</xdr:rowOff>
    </xdr:from>
    <xdr:to>
      <xdr:col>46</xdr:col>
      <xdr:colOff>360830</xdr:colOff>
      <xdr:row>93</xdr:row>
      <xdr:rowOff>175126</xdr:rowOff>
    </xdr:to>
    <xdr:cxnSp macro="">
      <xdr:nvCxnSpPr>
        <xdr:cNvPr id="370" name="Straight Connector 369"/>
        <xdr:cNvCxnSpPr/>
      </xdr:nvCxnSpPr>
      <xdr:spPr>
        <a:xfrm rot="10800000">
          <a:off x="26255382" y="17890038"/>
          <a:ext cx="2147048" cy="158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489697</xdr:colOff>
      <xdr:row>93</xdr:row>
      <xdr:rowOff>173542</xdr:rowOff>
    </xdr:from>
    <xdr:to>
      <xdr:col>44</xdr:col>
      <xdr:colOff>495300</xdr:colOff>
      <xdr:row>96</xdr:row>
      <xdr:rowOff>109666</xdr:rowOff>
    </xdr:to>
    <xdr:cxnSp macro="">
      <xdr:nvCxnSpPr>
        <xdr:cNvPr id="371" name="Straight Arrow Connector 370"/>
        <xdr:cNvCxnSpPr/>
      </xdr:nvCxnSpPr>
      <xdr:spPr>
        <a:xfrm rot="5400000">
          <a:off x="27061087" y="18141052"/>
          <a:ext cx="507624" cy="5603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576263</xdr:colOff>
      <xdr:row>108</xdr:row>
      <xdr:rowOff>152399</xdr:rowOff>
    </xdr:from>
    <xdr:to>
      <xdr:col>44</xdr:col>
      <xdr:colOff>600076</xdr:colOff>
      <xdr:row>116</xdr:row>
      <xdr:rowOff>10922</xdr:rowOff>
    </xdr:to>
    <xdr:cxnSp macro="">
      <xdr:nvCxnSpPr>
        <xdr:cNvPr id="372" name="Straight Arrow Connector 371"/>
        <xdr:cNvCxnSpPr>
          <a:stCxn id="303" idx="2"/>
        </xdr:cNvCxnSpPr>
      </xdr:nvCxnSpPr>
      <xdr:spPr>
        <a:xfrm rot="16200000" flipH="1">
          <a:off x="26719308" y="21405754"/>
          <a:ext cx="1382523" cy="23813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192744</xdr:colOff>
      <xdr:row>122</xdr:row>
      <xdr:rowOff>173538</xdr:rowOff>
    </xdr:from>
    <xdr:to>
      <xdr:col>48</xdr:col>
      <xdr:colOff>64994</xdr:colOff>
      <xdr:row>122</xdr:row>
      <xdr:rowOff>173540</xdr:rowOff>
    </xdr:to>
    <xdr:cxnSp macro="">
      <xdr:nvCxnSpPr>
        <xdr:cNvPr id="373" name="Straight Arrow Connector 372"/>
        <xdr:cNvCxnSpPr/>
      </xdr:nvCxnSpPr>
      <xdr:spPr>
        <a:xfrm flipV="1">
          <a:off x="28234344" y="23414538"/>
          <a:ext cx="1091450" cy="2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84607</xdr:colOff>
      <xdr:row>122</xdr:row>
      <xdr:rowOff>154488</xdr:rowOff>
    </xdr:from>
    <xdr:to>
      <xdr:col>43</xdr:col>
      <xdr:colOff>566457</xdr:colOff>
      <xdr:row>122</xdr:row>
      <xdr:rowOff>154490</xdr:rowOff>
    </xdr:to>
    <xdr:cxnSp macro="">
      <xdr:nvCxnSpPr>
        <xdr:cNvPr id="374" name="Straight Arrow Connector 373"/>
        <xdr:cNvCxnSpPr/>
      </xdr:nvCxnSpPr>
      <xdr:spPr>
        <a:xfrm flipV="1">
          <a:off x="25687807" y="23395488"/>
          <a:ext cx="1091450" cy="2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524668</xdr:colOff>
      <xdr:row>125</xdr:row>
      <xdr:rowOff>62273</xdr:rowOff>
    </xdr:from>
    <xdr:to>
      <xdr:col>55</xdr:col>
      <xdr:colOff>533399</xdr:colOff>
      <xdr:row>128</xdr:row>
      <xdr:rowOff>118629</xdr:rowOff>
    </xdr:to>
    <xdr:cxnSp macro="">
      <xdr:nvCxnSpPr>
        <xdr:cNvPr id="375" name="Straight Connector 374"/>
        <xdr:cNvCxnSpPr/>
      </xdr:nvCxnSpPr>
      <xdr:spPr>
        <a:xfrm rot="16200000" flipH="1">
          <a:off x="33743106" y="24184335"/>
          <a:ext cx="627856" cy="873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123825</xdr:colOff>
      <xdr:row>133</xdr:row>
      <xdr:rowOff>90052</xdr:rowOff>
    </xdr:from>
    <xdr:to>
      <xdr:col>51</xdr:col>
      <xdr:colOff>457203</xdr:colOff>
      <xdr:row>133</xdr:row>
      <xdr:rowOff>90054</xdr:rowOff>
    </xdr:to>
    <xdr:cxnSp macro="">
      <xdr:nvCxnSpPr>
        <xdr:cNvPr id="376" name="Straight Connector 375"/>
        <xdr:cNvCxnSpPr/>
      </xdr:nvCxnSpPr>
      <xdr:spPr>
        <a:xfrm rot="10800000" flipV="1">
          <a:off x="25727025" y="25426552"/>
          <a:ext cx="5819778" cy="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556936</xdr:colOff>
      <xdr:row>128</xdr:row>
      <xdr:rowOff>109103</xdr:rowOff>
    </xdr:from>
    <xdr:to>
      <xdr:col>55</xdr:col>
      <xdr:colOff>533400</xdr:colOff>
      <xdr:row>128</xdr:row>
      <xdr:rowOff>125914</xdr:rowOff>
    </xdr:to>
    <xdr:cxnSp macro="">
      <xdr:nvCxnSpPr>
        <xdr:cNvPr id="377" name="Straight Arrow Connector 376"/>
        <xdr:cNvCxnSpPr/>
      </xdr:nvCxnSpPr>
      <xdr:spPr>
        <a:xfrm rot="10800000" flipV="1">
          <a:off x="32865736" y="24493103"/>
          <a:ext cx="1195664" cy="16811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600077</xdr:colOff>
      <xdr:row>129</xdr:row>
      <xdr:rowOff>118633</xdr:rowOff>
    </xdr:from>
    <xdr:to>
      <xdr:col>52</xdr:col>
      <xdr:colOff>600078</xdr:colOff>
      <xdr:row>130</xdr:row>
      <xdr:rowOff>182375</xdr:rowOff>
    </xdr:to>
    <xdr:cxnSp macro="">
      <xdr:nvCxnSpPr>
        <xdr:cNvPr id="378" name="Straight Arrow Connector 377"/>
        <xdr:cNvCxnSpPr/>
      </xdr:nvCxnSpPr>
      <xdr:spPr>
        <a:xfrm rot="5400000">
          <a:off x="32172157" y="24820253"/>
          <a:ext cx="254242" cy="1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96043</xdr:colOff>
      <xdr:row>122</xdr:row>
      <xdr:rowOff>167049</xdr:rowOff>
    </xdr:from>
    <xdr:to>
      <xdr:col>42</xdr:col>
      <xdr:colOff>133353</xdr:colOff>
      <xdr:row>133</xdr:row>
      <xdr:rowOff>90057</xdr:rowOff>
    </xdr:to>
    <xdr:cxnSp macro="">
      <xdr:nvCxnSpPr>
        <xdr:cNvPr id="379" name="Straight Connector 378"/>
        <xdr:cNvCxnSpPr/>
      </xdr:nvCxnSpPr>
      <xdr:spPr>
        <a:xfrm rot="16200000" flipH="1">
          <a:off x="24708644" y="24398648"/>
          <a:ext cx="2018508" cy="3731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591344</xdr:colOff>
      <xdr:row>136</xdr:row>
      <xdr:rowOff>24174</xdr:rowOff>
    </xdr:from>
    <xdr:to>
      <xdr:col>52</xdr:col>
      <xdr:colOff>600075</xdr:colOff>
      <xdr:row>139</xdr:row>
      <xdr:rowOff>80530</xdr:rowOff>
    </xdr:to>
    <xdr:cxnSp macro="">
      <xdr:nvCxnSpPr>
        <xdr:cNvPr id="380" name="Straight Connector 379"/>
        <xdr:cNvCxnSpPr/>
      </xdr:nvCxnSpPr>
      <xdr:spPr>
        <a:xfrm rot="16200000" flipH="1">
          <a:off x="31980982" y="26241736"/>
          <a:ext cx="627856" cy="873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312965</xdr:colOff>
      <xdr:row>139</xdr:row>
      <xdr:rowOff>51951</xdr:rowOff>
    </xdr:from>
    <xdr:to>
      <xdr:col>52</xdr:col>
      <xdr:colOff>571507</xdr:colOff>
      <xdr:row>139</xdr:row>
      <xdr:rowOff>54428</xdr:rowOff>
    </xdr:to>
    <xdr:cxnSp macro="">
      <xdr:nvCxnSpPr>
        <xdr:cNvPr id="381" name="Straight Arrow Connector 380"/>
        <xdr:cNvCxnSpPr/>
      </xdr:nvCxnSpPr>
      <xdr:spPr>
        <a:xfrm rot="10800000" flipV="1">
          <a:off x="27255108" y="26531451"/>
          <a:ext cx="5157113" cy="2477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240847</xdr:colOff>
      <xdr:row>150</xdr:row>
      <xdr:rowOff>87339</xdr:rowOff>
    </xdr:from>
    <xdr:to>
      <xdr:col>44</xdr:col>
      <xdr:colOff>263304</xdr:colOff>
      <xdr:row>159</xdr:row>
      <xdr:rowOff>185305</xdr:rowOff>
    </xdr:to>
    <xdr:cxnSp macro="">
      <xdr:nvCxnSpPr>
        <xdr:cNvPr id="382" name="Straight Arrow Connector 381"/>
        <xdr:cNvCxnSpPr>
          <a:endCxn id="340" idx="0"/>
        </xdr:cNvCxnSpPr>
      </xdr:nvCxnSpPr>
      <xdr:spPr>
        <a:xfrm rot="5400000">
          <a:off x="26587343" y="29557343"/>
          <a:ext cx="1812466" cy="22457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144239</xdr:colOff>
      <xdr:row>197</xdr:row>
      <xdr:rowOff>90018</xdr:rowOff>
    </xdr:from>
    <xdr:to>
      <xdr:col>44</xdr:col>
      <xdr:colOff>158524</xdr:colOff>
      <xdr:row>198</xdr:row>
      <xdr:rowOff>156698</xdr:rowOff>
    </xdr:to>
    <xdr:cxnSp macro="">
      <xdr:nvCxnSpPr>
        <xdr:cNvPr id="384" name="Straight Arrow Connector 383"/>
        <xdr:cNvCxnSpPr>
          <a:stCxn id="354" idx="2"/>
        </xdr:cNvCxnSpPr>
      </xdr:nvCxnSpPr>
      <xdr:spPr>
        <a:xfrm rot="5400000">
          <a:off x="26964935" y="37739965"/>
          <a:ext cx="257180" cy="14285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449036</xdr:colOff>
      <xdr:row>193</xdr:row>
      <xdr:rowOff>87776</xdr:rowOff>
    </xdr:from>
    <xdr:to>
      <xdr:col>47</xdr:col>
      <xdr:colOff>167768</xdr:colOff>
      <xdr:row>193</xdr:row>
      <xdr:rowOff>94780</xdr:rowOff>
    </xdr:to>
    <xdr:cxnSp macro="">
      <xdr:nvCxnSpPr>
        <xdr:cNvPr id="385" name="Straight Arrow Connector 384"/>
        <xdr:cNvCxnSpPr>
          <a:stCxn id="354" idx="3"/>
        </xdr:cNvCxnSpPr>
      </xdr:nvCxnSpPr>
      <xdr:spPr>
        <a:xfrm flipV="1">
          <a:off x="28003500" y="36854276"/>
          <a:ext cx="943375" cy="7004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162999</xdr:colOff>
      <xdr:row>194</xdr:row>
      <xdr:rowOff>66164</xdr:rowOff>
    </xdr:from>
    <xdr:to>
      <xdr:col>48</xdr:col>
      <xdr:colOff>163495</xdr:colOff>
      <xdr:row>205</xdr:row>
      <xdr:rowOff>135798</xdr:rowOff>
    </xdr:to>
    <xdr:cxnSp macro="">
      <xdr:nvCxnSpPr>
        <xdr:cNvPr id="386" name="Straight Connector 385"/>
        <xdr:cNvCxnSpPr/>
      </xdr:nvCxnSpPr>
      <xdr:spPr>
        <a:xfrm rot="16200000" flipH="1">
          <a:off x="28472109" y="38105483"/>
          <a:ext cx="2165134" cy="496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84862</xdr:colOff>
      <xdr:row>29</xdr:row>
      <xdr:rowOff>23382</xdr:rowOff>
    </xdr:from>
    <xdr:to>
      <xdr:col>55</xdr:col>
      <xdr:colOff>114301</xdr:colOff>
      <xdr:row>85</xdr:row>
      <xdr:rowOff>180971</xdr:rowOff>
    </xdr:to>
    <xdr:cxnSp macro="">
      <xdr:nvCxnSpPr>
        <xdr:cNvPr id="387" name="Straight Arrow Connector 386"/>
        <xdr:cNvCxnSpPr/>
      </xdr:nvCxnSpPr>
      <xdr:spPr>
        <a:xfrm rot="5400000">
          <a:off x="28214787" y="10945957"/>
          <a:ext cx="10825589" cy="29439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361951</xdr:colOff>
      <xdr:row>88</xdr:row>
      <xdr:rowOff>25200</xdr:rowOff>
    </xdr:from>
    <xdr:to>
      <xdr:col>52</xdr:col>
      <xdr:colOff>575758</xdr:colOff>
      <xdr:row>88</xdr:row>
      <xdr:rowOff>37665</xdr:rowOff>
    </xdr:to>
    <xdr:cxnSp macro="">
      <xdr:nvCxnSpPr>
        <xdr:cNvPr id="388" name="Straight Arrow Connector 387"/>
        <xdr:cNvCxnSpPr>
          <a:stCxn id="357" idx="1"/>
          <a:endCxn id="302" idx="3"/>
        </xdr:cNvCxnSpPr>
      </xdr:nvCxnSpPr>
      <xdr:spPr>
        <a:xfrm rot="10800000" flipV="1">
          <a:off x="29013151" y="16789200"/>
          <a:ext cx="3261807" cy="12465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304802</xdr:colOff>
      <xdr:row>29</xdr:row>
      <xdr:rowOff>23380</xdr:rowOff>
    </xdr:from>
    <xdr:to>
      <xdr:col>55</xdr:col>
      <xdr:colOff>114300</xdr:colOff>
      <xdr:row>29</xdr:row>
      <xdr:rowOff>76201</xdr:rowOff>
    </xdr:to>
    <xdr:cxnSp macro="">
      <xdr:nvCxnSpPr>
        <xdr:cNvPr id="389" name="Straight Connector 388"/>
        <xdr:cNvCxnSpPr/>
      </xdr:nvCxnSpPr>
      <xdr:spPr>
        <a:xfrm rot="10800000">
          <a:off x="33223202" y="5547880"/>
          <a:ext cx="419098" cy="5282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457200</xdr:colOff>
      <xdr:row>19</xdr:row>
      <xdr:rowOff>99582</xdr:rowOff>
    </xdr:from>
    <xdr:to>
      <xdr:col>51</xdr:col>
      <xdr:colOff>571500</xdr:colOff>
      <xdr:row>19</xdr:row>
      <xdr:rowOff>114301</xdr:rowOff>
    </xdr:to>
    <xdr:cxnSp macro="">
      <xdr:nvCxnSpPr>
        <xdr:cNvPr id="390" name="Straight Connector 389"/>
        <xdr:cNvCxnSpPr/>
      </xdr:nvCxnSpPr>
      <xdr:spPr>
        <a:xfrm rot="10800000">
          <a:off x="27279600" y="3719082"/>
          <a:ext cx="4381500" cy="147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514350</xdr:colOff>
      <xdr:row>39</xdr:row>
      <xdr:rowOff>71442</xdr:rowOff>
    </xdr:from>
    <xdr:to>
      <xdr:col>62</xdr:col>
      <xdr:colOff>523875</xdr:colOff>
      <xdr:row>53</xdr:row>
      <xdr:rowOff>137680</xdr:rowOff>
    </xdr:to>
    <xdr:cxnSp macro="">
      <xdr:nvCxnSpPr>
        <xdr:cNvPr id="391" name="Straight Arrow Connector 390"/>
        <xdr:cNvCxnSpPr>
          <a:endCxn id="393" idx="0"/>
        </xdr:cNvCxnSpPr>
      </xdr:nvCxnSpPr>
      <xdr:spPr>
        <a:xfrm rot="5400000">
          <a:off x="37538244" y="8862798"/>
          <a:ext cx="2733238" cy="9525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47624</xdr:colOff>
      <xdr:row>64</xdr:row>
      <xdr:rowOff>41996</xdr:rowOff>
    </xdr:from>
    <xdr:to>
      <xdr:col>73</xdr:col>
      <xdr:colOff>458665</xdr:colOff>
      <xdr:row>74</xdr:row>
      <xdr:rowOff>182706</xdr:rowOff>
    </xdr:to>
    <xdr:sp macro="" textlink="">
      <xdr:nvSpPr>
        <xdr:cNvPr id="392" name="Rectangle 391"/>
        <xdr:cNvSpPr/>
      </xdr:nvSpPr>
      <xdr:spPr>
        <a:xfrm>
          <a:off x="36623624" y="12233996"/>
          <a:ext cx="8335841" cy="204571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60</xdr:col>
      <xdr:colOff>533400</xdr:colOff>
      <xdr:row>53</xdr:row>
      <xdr:rowOff>137679</xdr:rowOff>
    </xdr:from>
    <xdr:to>
      <xdr:col>64</xdr:col>
      <xdr:colOff>495300</xdr:colOff>
      <xdr:row>57</xdr:row>
      <xdr:rowOff>61479</xdr:rowOff>
    </xdr:to>
    <xdr:sp macro="" textlink="">
      <xdr:nvSpPr>
        <xdr:cNvPr id="393" name="Flowchart: Stored Data 392"/>
        <xdr:cNvSpPr/>
      </xdr:nvSpPr>
      <xdr:spPr>
        <a:xfrm>
          <a:off x="37109400" y="10234179"/>
          <a:ext cx="2400300" cy="685800"/>
        </a:xfrm>
        <a:prstGeom prst="flowChartOnlineStorag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800" b="1" cap="none" spc="0" baseline="0">
              <a:ln w="11430">
                <a:solidFill>
                  <a:schemeClr val="accent5">
                    <a:lumMod val="75000"/>
                  </a:schemeClr>
                </a:solidFill>
              </a:ln>
              <a:solidFill>
                <a:schemeClr val="accent5">
                  <a:lumMod val="75000"/>
                </a:schemeClr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DATABASE</a:t>
          </a:r>
          <a:endParaRPr lang="en-IN" sz="1100" b="1" cap="none" spc="0">
            <a:ln w="11430">
              <a:solidFill>
                <a:schemeClr val="accent5">
                  <a:lumMod val="75000"/>
                </a:schemeClr>
              </a:solidFill>
            </a:ln>
            <a:solidFill>
              <a:schemeClr val="accent5">
                <a:lumMod val="75000"/>
              </a:schemeClr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59</xdr:col>
      <xdr:colOff>131618</xdr:colOff>
      <xdr:row>55</xdr:row>
      <xdr:rowOff>102100</xdr:rowOff>
    </xdr:from>
    <xdr:to>
      <xdr:col>60</xdr:col>
      <xdr:colOff>533120</xdr:colOff>
      <xdr:row>55</xdr:row>
      <xdr:rowOff>113434</xdr:rowOff>
    </xdr:to>
    <xdr:cxnSp macro="">
      <xdr:nvCxnSpPr>
        <xdr:cNvPr id="394" name="Straight Arrow Connector 393"/>
        <xdr:cNvCxnSpPr/>
      </xdr:nvCxnSpPr>
      <xdr:spPr>
        <a:xfrm flipV="1">
          <a:off x="36098018" y="10579600"/>
          <a:ext cx="1011102" cy="11334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116003</xdr:colOff>
      <xdr:row>55</xdr:row>
      <xdr:rowOff>127395</xdr:rowOff>
    </xdr:from>
    <xdr:to>
      <xdr:col>59</xdr:col>
      <xdr:colOff>166689</xdr:colOff>
      <xdr:row>206</xdr:row>
      <xdr:rowOff>23812</xdr:rowOff>
    </xdr:to>
    <xdr:cxnSp macro="">
      <xdr:nvCxnSpPr>
        <xdr:cNvPr id="395" name="Straight Connector 394"/>
        <xdr:cNvCxnSpPr/>
      </xdr:nvCxnSpPr>
      <xdr:spPr>
        <a:xfrm rot="16200000" flipH="1">
          <a:off x="22338762" y="24910511"/>
          <a:ext cx="28661917" cy="50686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62253</xdr:colOff>
      <xdr:row>200</xdr:row>
      <xdr:rowOff>137602</xdr:rowOff>
    </xdr:from>
    <xdr:to>
      <xdr:col>44</xdr:col>
      <xdr:colOff>70077</xdr:colOff>
      <xdr:row>205</xdr:row>
      <xdr:rowOff>143122</xdr:rowOff>
    </xdr:to>
    <xdr:cxnSp macro="">
      <xdr:nvCxnSpPr>
        <xdr:cNvPr id="396" name="Straight Connector 395"/>
        <xdr:cNvCxnSpPr/>
      </xdr:nvCxnSpPr>
      <xdr:spPr>
        <a:xfrm rot="16200000" flipH="1">
          <a:off x="26529298" y="38712700"/>
          <a:ext cx="958020" cy="782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46265</xdr:colOff>
      <xdr:row>205</xdr:row>
      <xdr:rowOff>171697</xdr:rowOff>
    </xdr:from>
    <xdr:to>
      <xdr:col>59</xdr:col>
      <xdr:colOff>46264</xdr:colOff>
      <xdr:row>206</xdr:row>
      <xdr:rowOff>247</xdr:rowOff>
    </xdr:to>
    <xdr:cxnSp macro="">
      <xdr:nvCxnSpPr>
        <xdr:cNvPr id="397" name="Straight Connector 396"/>
        <xdr:cNvCxnSpPr/>
      </xdr:nvCxnSpPr>
      <xdr:spPr>
        <a:xfrm rot="10800000">
          <a:off x="26988408" y="39224197"/>
          <a:ext cx="9184820" cy="190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60</xdr:col>
      <xdr:colOff>170584</xdr:colOff>
      <xdr:row>66</xdr:row>
      <xdr:rowOff>12864</xdr:rowOff>
    </xdr:from>
    <xdr:ext cx="281872" cy="264560"/>
    <xdr:sp macro="" textlink="">
      <xdr:nvSpPr>
        <xdr:cNvPr id="398" name="TextBox 397"/>
        <xdr:cNvSpPr txBox="1"/>
      </xdr:nvSpPr>
      <xdr:spPr>
        <a:xfrm>
          <a:off x="36746584" y="12585864"/>
          <a:ext cx="28187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Sl</a:t>
          </a:r>
        </a:p>
      </xdr:txBody>
    </xdr:sp>
    <xdr:clientData/>
  </xdr:oneCellAnchor>
  <xdr:oneCellAnchor>
    <xdr:from>
      <xdr:col>60</xdr:col>
      <xdr:colOff>484597</xdr:colOff>
      <xdr:row>66</xdr:row>
      <xdr:rowOff>12864</xdr:rowOff>
    </xdr:from>
    <xdr:ext cx="485261" cy="264560"/>
    <xdr:sp macro="" textlink="">
      <xdr:nvSpPr>
        <xdr:cNvPr id="399" name="TextBox 398"/>
        <xdr:cNvSpPr txBox="1"/>
      </xdr:nvSpPr>
      <xdr:spPr>
        <a:xfrm>
          <a:off x="37060597" y="12585864"/>
          <a:ext cx="4852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P-NO</a:t>
          </a:r>
        </a:p>
      </xdr:txBody>
    </xdr:sp>
    <xdr:clientData/>
  </xdr:oneCellAnchor>
  <xdr:oneCellAnchor>
    <xdr:from>
      <xdr:col>61</xdr:col>
      <xdr:colOff>453836</xdr:colOff>
      <xdr:row>66</xdr:row>
      <xdr:rowOff>18724</xdr:rowOff>
    </xdr:from>
    <xdr:ext cx="621580" cy="264560"/>
    <xdr:sp macro="" textlink="">
      <xdr:nvSpPr>
        <xdr:cNvPr id="400" name="TextBox 399"/>
        <xdr:cNvSpPr txBox="1"/>
      </xdr:nvSpPr>
      <xdr:spPr>
        <a:xfrm>
          <a:off x="37639436" y="12591724"/>
          <a:ext cx="6215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Discript</a:t>
          </a:r>
        </a:p>
      </xdr:txBody>
    </xdr:sp>
    <xdr:clientData/>
  </xdr:oneCellAnchor>
  <xdr:oneCellAnchor>
    <xdr:from>
      <xdr:col>62</xdr:col>
      <xdr:colOff>598914</xdr:colOff>
      <xdr:row>66</xdr:row>
      <xdr:rowOff>24584</xdr:rowOff>
    </xdr:from>
    <xdr:ext cx="592791" cy="264560"/>
    <xdr:sp macro="" textlink="">
      <xdr:nvSpPr>
        <xdr:cNvPr id="401" name="TextBox 400"/>
        <xdr:cNvSpPr txBox="1"/>
      </xdr:nvSpPr>
      <xdr:spPr>
        <a:xfrm>
          <a:off x="38394114" y="12597584"/>
          <a:ext cx="5927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REC DT</a:t>
          </a:r>
        </a:p>
      </xdr:txBody>
    </xdr:sp>
    <xdr:clientData/>
  </xdr:oneCellAnchor>
  <xdr:oneCellAnchor>
    <xdr:from>
      <xdr:col>64</xdr:col>
      <xdr:colOff>128531</xdr:colOff>
      <xdr:row>66</xdr:row>
      <xdr:rowOff>45097</xdr:rowOff>
    </xdr:from>
    <xdr:ext cx="957442" cy="264560"/>
    <xdr:sp macro="" textlink="">
      <xdr:nvSpPr>
        <xdr:cNvPr id="402" name="TextBox 401"/>
        <xdr:cNvSpPr txBox="1"/>
      </xdr:nvSpPr>
      <xdr:spPr>
        <a:xfrm>
          <a:off x="39142931" y="12618097"/>
          <a:ext cx="9574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IOM TODEPT</a:t>
          </a:r>
        </a:p>
      </xdr:txBody>
    </xdr:sp>
    <xdr:clientData/>
  </xdr:oneCellAnchor>
  <xdr:oneCellAnchor>
    <xdr:from>
      <xdr:col>67</xdr:col>
      <xdr:colOff>383513</xdr:colOff>
      <xdr:row>66</xdr:row>
      <xdr:rowOff>36304</xdr:rowOff>
    </xdr:from>
    <xdr:ext cx="739113" cy="264560"/>
    <xdr:sp macro="" textlink="">
      <xdr:nvSpPr>
        <xdr:cNvPr id="403" name="TextBox 402"/>
        <xdr:cNvSpPr txBox="1"/>
      </xdr:nvSpPr>
      <xdr:spPr>
        <a:xfrm>
          <a:off x="41226713" y="12609304"/>
          <a:ext cx="7391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SITE VISIT</a:t>
          </a:r>
        </a:p>
      </xdr:txBody>
    </xdr:sp>
    <xdr:clientData/>
  </xdr:oneCellAnchor>
  <xdr:oneCellAnchor>
    <xdr:from>
      <xdr:col>65</xdr:col>
      <xdr:colOff>535912</xdr:colOff>
      <xdr:row>66</xdr:row>
      <xdr:rowOff>34836</xdr:rowOff>
    </xdr:from>
    <xdr:ext cx="1109984" cy="264560"/>
    <xdr:sp macro="" textlink="">
      <xdr:nvSpPr>
        <xdr:cNvPr id="404" name="TextBox 403"/>
        <xdr:cNvSpPr txBox="1"/>
      </xdr:nvSpPr>
      <xdr:spPr>
        <a:xfrm>
          <a:off x="40159912" y="12607836"/>
          <a:ext cx="110998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COST FRM DEPT</a:t>
          </a:r>
        </a:p>
      </xdr:txBody>
    </xdr:sp>
    <xdr:clientData/>
  </xdr:oneCellAnchor>
  <xdr:oneCellAnchor>
    <xdr:from>
      <xdr:col>69</xdr:col>
      <xdr:colOff>116819</xdr:colOff>
      <xdr:row>66</xdr:row>
      <xdr:rowOff>40697</xdr:rowOff>
    </xdr:from>
    <xdr:ext cx="799193" cy="264560"/>
    <xdr:sp macro="" textlink="">
      <xdr:nvSpPr>
        <xdr:cNvPr id="405" name="TextBox 404"/>
        <xdr:cNvSpPr txBox="1"/>
      </xdr:nvSpPr>
      <xdr:spPr>
        <a:xfrm>
          <a:off x="42179219" y="12613697"/>
          <a:ext cx="79919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BULK MTO</a:t>
          </a:r>
        </a:p>
      </xdr:txBody>
    </xdr:sp>
    <xdr:clientData/>
  </xdr:oneCellAnchor>
  <xdr:oneCellAnchor>
    <xdr:from>
      <xdr:col>70</xdr:col>
      <xdr:colOff>364473</xdr:colOff>
      <xdr:row>66</xdr:row>
      <xdr:rowOff>31903</xdr:rowOff>
    </xdr:from>
    <xdr:ext cx="926857" cy="264560"/>
    <xdr:sp macro="" textlink="">
      <xdr:nvSpPr>
        <xdr:cNvPr id="406" name="TextBox 405"/>
        <xdr:cNvSpPr txBox="1"/>
      </xdr:nvSpPr>
      <xdr:spPr>
        <a:xfrm>
          <a:off x="43036473" y="12604903"/>
          <a:ext cx="9268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EQUIP QUOT</a:t>
          </a:r>
        </a:p>
      </xdr:txBody>
    </xdr:sp>
    <xdr:clientData/>
  </xdr:oneCellAnchor>
  <xdr:oneCellAnchor>
    <xdr:from>
      <xdr:col>72</xdr:col>
      <xdr:colOff>61139</xdr:colOff>
      <xdr:row>66</xdr:row>
      <xdr:rowOff>30437</xdr:rowOff>
    </xdr:from>
    <xdr:ext cx="762453" cy="264560"/>
    <xdr:sp macro="" textlink="">
      <xdr:nvSpPr>
        <xdr:cNvPr id="407" name="TextBox 406"/>
        <xdr:cNvSpPr txBox="1"/>
      </xdr:nvSpPr>
      <xdr:spPr>
        <a:xfrm>
          <a:off x="43952339" y="12603437"/>
          <a:ext cx="7624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ESTIMATE</a:t>
          </a:r>
        </a:p>
      </xdr:txBody>
    </xdr:sp>
    <xdr:clientData/>
  </xdr:oneCellAnchor>
  <xdr:twoCellAnchor>
    <xdr:from>
      <xdr:col>64</xdr:col>
      <xdr:colOff>312127</xdr:colOff>
      <xdr:row>67</xdr:row>
      <xdr:rowOff>178710</xdr:rowOff>
    </xdr:from>
    <xdr:to>
      <xdr:col>64</xdr:col>
      <xdr:colOff>451339</xdr:colOff>
      <xdr:row>68</xdr:row>
      <xdr:rowOff>142075</xdr:rowOff>
    </xdr:to>
    <xdr:sp macro="" textlink="">
      <xdr:nvSpPr>
        <xdr:cNvPr id="408" name="Flowchart: Connector 407"/>
        <xdr:cNvSpPr/>
      </xdr:nvSpPr>
      <xdr:spPr>
        <a:xfrm>
          <a:off x="39326527" y="12942210"/>
          <a:ext cx="139212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64</xdr:col>
      <xdr:colOff>310661</xdr:colOff>
      <xdr:row>69</xdr:row>
      <xdr:rowOff>103976</xdr:rowOff>
    </xdr:from>
    <xdr:to>
      <xdr:col>64</xdr:col>
      <xdr:colOff>449873</xdr:colOff>
      <xdr:row>70</xdr:row>
      <xdr:rowOff>67341</xdr:rowOff>
    </xdr:to>
    <xdr:sp macro="" textlink="">
      <xdr:nvSpPr>
        <xdr:cNvPr id="409" name="Flowchart: Connector 408"/>
        <xdr:cNvSpPr/>
      </xdr:nvSpPr>
      <xdr:spPr>
        <a:xfrm>
          <a:off x="39325061" y="13248476"/>
          <a:ext cx="139212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64</xdr:col>
      <xdr:colOff>301869</xdr:colOff>
      <xdr:row>71</xdr:row>
      <xdr:rowOff>36568</xdr:rowOff>
    </xdr:from>
    <xdr:to>
      <xdr:col>64</xdr:col>
      <xdr:colOff>441081</xdr:colOff>
      <xdr:row>71</xdr:row>
      <xdr:rowOff>190433</xdr:rowOff>
    </xdr:to>
    <xdr:sp macro="" textlink="">
      <xdr:nvSpPr>
        <xdr:cNvPr id="410" name="Flowchart: Connector 409"/>
        <xdr:cNvSpPr/>
      </xdr:nvSpPr>
      <xdr:spPr>
        <a:xfrm>
          <a:off x="39316269" y="13562068"/>
          <a:ext cx="139212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64</xdr:col>
      <xdr:colOff>495300</xdr:colOff>
      <xdr:row>67</xdr:row>
      <xdr:rowOff>142076</xdr:rowOff>
    </xdr:from>
    <xdr:to>
      <xdr:col>65</xdr:col>
      <xdr:colOff>458665</xdr:colOff>
      <xdr:row>68</xdr:row>
      <xdr:rowOff>142076</xdr:rowOff>
    </xdr:to>
    <xdr:sp macro="" textlink="">
      <xdr:nvSpPr>
        <xdr:cNvPr id="411" name="TextBox 410"/>
        <xdr:cNvSpPr txBox="1"/>
      </xdr:nvSpPr>
      <xdr:spPr>
        <a:xfrm>
          <a:off x="39509700" y="12905576"/>
          <a:ext cx="572965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64</xdr:col>
      <xdr:colOff>471852</xdr:colOff>
      <xdr:row>69</xdr:row>
      <xdr:rowOff>74668</xdr:rowOff>
    </xdr:from>
    <xdr:to>
      <xdr:col>66</xdr:col>
      <xdr:colOff>2930</xdr:colOff>
      <xdr:row>70</xdr:row>
      <xdr:rowOff>74668</xdr:rowOff>
    </xdr:to>
    <xdr:sp macro="" textlink="">
      <xdr:nvSpPr>
        <xdr:cNvPr id="412" name="TextBox 411"/>
        <xdr:cNvSpPr txBox="1"/>
      </xdr:nvSpPr>
      <xdr:spPr>
        <a:xfrm>
          <a:off x="39486252" y="13219168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64</xdr:col>
      <xdr:colOff>558309</xdr:colOff>
      <xdr:row>71</xdr:row>
      <xdr:rowOff>29242</xdr:rowOff>
    </xdr:from>
    <xdr:to>
      <xdr:col>66</xdr:col>
      <xdr:colOff>89387</xdr:colOff>
      <xdr:row>72</xdr:row>
      <xdr:rowOff>29242</xdr:rowOff>
    </xdr:to>
    <xdr:sp macro="" textlink="">
      <xdr:nvSpPr>
        <xdr:cNvPr id="413" name="TextBox 412"/>
        <xdr:cNvSpPr txBox="1"/>
      </xdr:nvSpPr>
      <xdr:spPr>
        <a:xfrm>
          <a:off x="39572709" y="13554742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60</xdr:col>
      <xdr:colOff>199290</xdr:colOff>
      <xdr:row>69</xdr:row>
      <xdr:rowOff>139145</xdr:rowOff>
    </xdr:from>
    <xdr:to>
      <xdr:col>60</xdr:col>
      <xdr:colOff>502627</xdr:colOff>
      <xdr:row>70</xdr:row>
      <xdr:rowOff>139145</xdr:rowOff>
    </xdr:to>
    <xdr:sp macro="" textlink="">
      <xdr:nvSpPr>
        <xdr:cNvPr id="414" name="TextBox 413"/>
        <xdr:cNvSpPr txBox="1"/>
      </xdr:nvSpPr>
      <xdr:spPr>
        <a:xfrm>
          <a:off x="36775290" y="13283645"/>
          <a:ext cx="303337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1</a:t>
          </a:r>
        </a:p>
      </xdr:txBody>
    </xdr:sp>
    <xdr:clientData/>
  </xdr:twoCellAnchor>
  <xdr:twoCellAnchor>
    <xdr:from>
      <xdr:col>60</xdr:col>
      <xdr:colOff>410306</xdr:colOff>
      <xdr:row>69</xdr:row>
      <xdr:rowOff>137680</xdr:rowOff>
    </xdr:from>
    <xdr:to>
      <xdr:col>62</xdr:col>
      <xdr:colOff>2932</xdr:colOff>
      <xdr:row>70</xdr:row>
      <xdr:rowOff>137680</xdr:rowOff>
    </xdr:to>
    <xdr:sp macro="" textlink="">
      <xdr:nvSpPr>
        <xdr:cNvPr id="415" name="TextBox 414"/>
        <xdr:cNvSpPr txBox="1"/>
      </xdr:nvSpPr>
      <xdr:spPr>
        <a:xfrm>
          <a:off x="36986306" y="13282180"/>
          <a:ext cx="8118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P-XX-XXX</a:t>
          </a:r>
        </a:p>
      </xdr:txBody>
    </xdr:sp>
    <xdr:clientData/>
  </xdr:twoCellAnchor>
  <xdr:twoCellAnchor>
    <xdr:from>
      <xdr:col>61</xdr:col>
      <xdr:colOff>467457</xdr:colOff>
      <xdr:row>69</xdr:row>
      <xdr:rowOff>158195</xdr:rowOff>
    </xdr:from>
    <xdr:to>
      <xdr:col>62</xdr:col>
      <xdr:colOff>590550</xdr:colOff>
      <xdr:row>70</xdr:row>
      <xdr:rowOff>158195</xdr:rowOff>
    </xdr:to>
    <xdr:sp macro="" textlink="">
      <xdr:nvSpPr>
        <xdr:cNvPr id="416" name="TextBox 415"/>
        <xdr:cNvSpPr txBox="1"/>
      </xdr:nvSpPr>
      <xdr:spPr>
        <a:xfrm>
          <a:off x="37653057" y="13302695"/>
          <a:ext cx="73269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XXXXXXX</a:t>
          </a:r>
        </a:p>
      </xdr:txBody>
    </xdr:sp>
    <xdr:clientData/>
  </xdr:twoCellAnchor>
  <xdr:twoCellAnchor>
    <xdr:from>
      <xdr:col>62</xdr:col>
      <xdr:colOff>524606</xdr:colOff>
      <xdr:row>69</xdr:row>
      <xdr:rowOff>134749</xdr:rowOff>
    </xdr:from>
    <xdr:to>
      <xdr:col>64</xdr:col>
      <xdr:colOff>194896</xdr:colOff>
      <xdr:row>70</xdr:row>
      <xdr:rowOff>134749</xdr:rowOff>
    </xdr:to>
    <xdr:sp macro="" textlink="">
      <xdr:nvSpPr>
        <xdr:cNvPr id="417" name="TextBox 416"/>
        <xdr:cNvSpPr txBox="1"/>
      </xdr:nvSpPr>
      <xdr:spPr>
        <a:xfrm>
          <a:off x="38319806" y="13279249"/>
          <a:ext cx="88949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XX/XX/XXXX</a:t>
          </a:r>
        </a:p>
      </xdr:txBody>
    </xdr:sp>
    <xdr:clientData/>
  </xdr:twoCellAnchor>
  <xdr:twoCellAnchor>
    <xdr:from>
      <xdr:col>66</xdr:col>
      <xdr:colOff>60091</xdr:colOff>
      <xdr:row>67</xdr:row>
      <xdr:rowOff>177245</xdr:rowOff>
    </xdr:from>
    <xdr:to>
      <xdr:col>66</xdr:col>
      <xdr:colOff>200769</xdr:colOff>
      <xdr:row>68</xdr:row>
      <xdr:rowOff>140610</xdr:rowOff>
    </xdr:to>
    <xdr:sp macro="" textlink="">
      <xdr:nvSpPr>
        <xdr:cNvPr id="418" name="Flowchart: Connector 417"/>
        <xdr:cNvSpPr/>
      </xdr:nvSpPr>
      <xdr:spPr>
        <a:xfrm>
          <a:off x="40293691" y="12940745"/>
          <a:ext cx="140678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66</xdr:col>
      <xdr:colOff>58625</xdr:colOff>
      <xdr:row>69</xdr:row>
      <xdr:rowOff>102511</xdr:rowOff>
    </xdr:from>
    <xdr:to>
      <xdr:col>66</xdr:col>
      <xdr:colOff>199303</xdr:colOff>
      <xdr:row>70</xdr:row>
      <xdr:rowOff>65876</xdr:rowOff>
    </xdr:to>
    <xdr:sp macro="" textlink="">
      <xdr:nvSpPr>
        <xdr:cNvPr id="419" name="Flowchart: Connector 418"/>
        <xdr:cNvSpPr/>
      </xdr:nvSpPr>
      <xdr:spPr>
        <a:xfrm>
          <a:off x="40292225" y="13247011"/>
          <a:ext cx="140678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66</xdr:col>
      <xdr:colOff>49833</xdr:colOff>
      <xdr:row>71</xdr:row>
      <xdr:rowOff>35103</xdr:rowOff>
    </xdr:from>
    <xdr:to>
      <xdr:col>66</xdr:col>
      <xdr:colOff>190511</xdr:colOff>
      <xdr:row>71</xdr:row>
      <xdr:rowOff>188968</xdr:rowOff>
    </xdr:to>
    <xdr:sp macro="" textlink="">
      <xdr:nvSpPr>
        <xdr:cNvPr id="420" name="Flowchart: Connector 419"/>
        <xdr:cNvSpPr/>
      </xdr:nvSpPr>
      <xdr:spPr>
        <a:xfrm>
          <a:off x="40283433" y="13560603"/>
          <a:ext cx="140678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66</xdr:col>
      <xdr:colOff>244730</xdr:colOff>
      <xdr:row>67</xdr:row>
      <xdr:rowOff>140611</xdr:rowOff>
    </xdr:from>
    <xdr:to>
      <xdr:col>67</xdr:col>
      <xdr:colOff>208095</xdr:colOff>
      <xdr:row>68</xdr:row>
      <xdr:rowOff>140611</xdr:rowOff>
    </xdr:to>
    <xdr:sp macro="" textlink="">
      <xdr:nvSpPr>
        <xdr:cNvPr id="421" name="TextBox 420"/>
        <xdr:cNvSpPr txBox="1"/>
      </xdr:nvSpPr>
      <xdr:spPr>
        <a:xfrm>
          <a:off x="40478330" y="12904111"/>
          <a:ext cx="572965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66</xdr:col>
      <xdr:colOff>221282</xdr:colOff>
      <xdr:row>69</xdr:row>
      <xdr:rowOff>73203</xdr:rowOff>
    </xdr:from>
    <xdr:to>
      <xdr:col>67</xdr:col>
      <xdr:colOff>361960</xdr:colOff>
      <xdr:row>70</xdr:row>
      <xdr:rowOff>73203</xdr:rowOff>
    </xdr:to>
    <xdr:sp macro="" textlink="">
      <xdr:nvSpPr>
        <xdr:cNvPr id="422" name="TextBox 421"/>
        <xdr:cNvSpPr txBox="1"/>
      </xdr:nvSpPr>
      <xdr:spPr>
        <a:xfrm>
          <a:off x="40454882" y="13217703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66</xdr:col>
      <xdr:colOff>307739</xdr:colOff>
      <xdr:row>71</xdr:row>
      <xdr:rowOff>27777</xdr:rowOff>
    </xdr:from>
    <xdr:to>
      <xdr:col>67</xdr:col>
      <xdr:colOff>448417</xdr:colOff>
      <xdr:row>72</xdr:row>
      <xdr:rowOff>27777</xdr:rowOff>
    </xdr:to>
    <xdr:sp macro="" textlink="">
      <xdr:nvSpPr>
        <xdr:cNvPr id="423" name="TextBox 422"/>
        <xdr:cNvSpPr txBox="1"/>
      </xdr:nvSpPr>
      <xdr:spPr>
        <a:xfrm>
          <a:off x="40541339" y="13553277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67</xdr:col>
      <xdr:colOff>375157</xdr:colOff>
      <xdr:row>67</xdr:row>
      <xdr:rowOff>175778</xdr:rowOff>
    </xdr:from>
    <xdr:to>
      <xdr:col>67</xdr:col>
      <xdr:colOff>514369</xdr:colOff>
      <xdr:row>68</xdr:row>
      <xdr:rowOff>139143</xdr:rowOff>
    </xdr:to>
    <xdr:sp macro="" textlink="">
      <xdr:nvSpPr>
        <xdr:cNvPr id="424" name="Flowchart: Connector 423"/>
        <xdr:cNvSpPr/>
      </xdr:nvSpPr>
      <xdr:spPr>
        <a:xfrm>
          <a:off x="41218357" y="12939278"/>
          <a:ext cx="139212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67</xdr:col>
      <xdr:colOff>373691</xdr:colOff>
      <xdr:row>69</xdr:row>
      <xdr:rowOff>101044</xdr:rowOff>
    </xdr:from>
    <xdr:to>
      <xdr:col>67</xdr:col>
      <xdr:colOff>512903</xdr:colOff>
      <xdr:row>70</xdr:row>
      <xdr:rowOff>64409</xdr:rowOff>
    </xdr:to>
    <xdr:sp macro="" textlink="">
      <xdr:nvSpPr>
        <xdr:cNvPr id="425" name="Flowchart: Connector 424"/>
        <xdr:cNvSpPr/>
      </xdr:nvSpPr>
      <xdr:spPr>
        <a:xfrm>
          <a:off x="41216891" y="13245544"/>
          <a:ext cx="139212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67</xdr:col>
      <xdr:colOff>364899</xdr:colOff>
      <xdr:row>71</xdr:row>
      <xdr:rowOff>33636</xdr:rowOff>
    </xdr:from>
    <xdr:to>
      <xdr:col>67</xdr:col>
      <xdr:colOff>504111</xdr:colOff>
      <xdr:row>71</xdr:row>
      <xdr:rowOff>187501</xdr:rowOff>
    </xdr:to>
    <xdr:sp macro="" textlink="">
      <xdr:nvSpPr>
        <xdr:cNvPr id="426" name="Flowchart: Connector 425"/>
        <xdr:cNvSpPr/>
      </xdr:nvSpPr>
      <xdr:spPr>
        <a:xfrm>
          <a:off x="41208099" y="13559136"/>
          <a:ext cx="139212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67</xdr:col>
      <xdr:colOff>558330</xdr:colOff>
      <xdr:row>67</xdr:row>
      <xdr:rowOff>139144</xdr:rowOff>
    </xdr:from>
    <xdr:to>
      <xdr:col>68</xdr:col>
      <xdr:colOff>521695</xdr:colOff>
      <xdr:row>68</xdr:row>
      <xdr:rowOff>139144</xdr:rowOff>
    </xdr:to>
    <xdr:sp macro="" textlink="">
      <xdr:nvSpPr>
        <xdr:cNvPr id="427" name="TextBox 426"/>
        <xdr:cNvSpPr txBox="1"/>
      </xdr:nvSpPr>
      <xdr:spPr>
        <a:xfrm>
          <a:off x="41401530" y="12902644"/>
          <a:ext cx="572965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67</xdr:col>
      <xdr:colOff>534882</xdr:colOff>
      <xdr:row>69</xdr:row>
      <xdr:rowOff>71736</xdr:rowOff>
    </xdr:from>
    <xdr:to>
      <xdr:col>69</xdr:col>
      <xdr:colOff>65960</xdr:colOff>
      <xdr:row>70</xdr:row>
      <xdr:rowOff>71736</xdr:rowOff>
    </xdr:to>
    <xdr:sp macro="" textlink="">
      <xdr:nvSpPr>
        <xdr:cNvPr id="428" name="TextBox 427"/>
        <xdr:cNvSpPr txBox="1"/>
      </xdr:nvSpPr>
      <xdr:spPr>
        <a:xfrm>
          <a:off x="41378082" y="13216236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68</xdr:col>
      <xdr:colOff>11739</xdr:colOff>
      <xdr:row>71</xdr:row>
      <xdr:rowOff>26310</xdr:rowOff>
    </xdr:from>
    <xdr:to>
      <xdr:col>69</xdr:col>
      <xdr:colOff>153883</xdr:colOff>
      <xdr:row>72</xdr:row>
      <xdr:rowOff>26310</xdr:rowOff>
    </xdr:to>
    <xdr:sp macro="" textlink="">
      <xdr:nvSpPr>
        <xdr:cNvPr id="429" name="TextBox 428"/>
        <xdr:cNvSpPr txBox="1"/>
      </xdr:nvSpPr>
      <xdr:spPr>
        <a:xfrm>
          <a:off x="41464539" y="13551810"/>
          <a:ext cx="751744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69</xdr:col>
      <xdr:colOff>64503</xdr:colOff>
      <xdr:row>67</xdr:row>
      <xdr:rowOff>181638</xdr:rowOff>
    </xdr:from>
    <xdr:to>
      <xdr:col>69</xdr:col>
      <xdr:colOff>205181</xdr:colOff>
      <xdr:row>68</xdr:row>
      <xdr:rowOff>145003</xdr:rowOff>
    </xdr:to>
    <xdr:sp macro="" textlink="">
      <xdr:nvSpPr>
        <xdr:cNvPr id="430" name="Flowchart: Connector 429"/>
        <xdr:cNvSpPr/>
      </xdr:nvSpPr>
      <xdr:spPr>
        <a:xfrm>
          <a:off x="42126903" y="12945138"/>
          <a:ext cx="140678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69</xdr:col>
      <xdr:colOff>63037</xdr:colOff>
      <xdr:row>69</xdr:row>
      <xdr:rowOff>106904</xdr:rowOff>
    </xdr:from>
    <xdr:to>
      <xdr:col>69</xdr:col>
      <xdr:colOff>203715</xdr:colOff>
      <xdr:row>70</xdr:row>
      <xdr:rowOff>70269</xdr:rowOff>
    </xdr:to>
    <xdr:sp macro="" textlink="">
      <xdr:nvSpPr>
        <xdr:cNvPr id="431" name="Flowchart: Connector 430"/>
        <xdr:cNvSpPr/>
      </xdr:nvSpPr>
      <xdr:spPr>
        <a:xfrm>
          <a:off x="42125437" y="13251404"/>
          <a:ext cx="140678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69</xdr:col>
      <xdr:colOff>54245</xdr:colOff>
      <xdr:row>71</xdr:row>
      <xdr:rowOff>39496</xdr:rowOff>
    </xdr:from>
    <xdr:to>
      <xdr:col>69</xdr:col>
      <xdr:colOff>194923</xdr:colOff>
      <xdr:row>72</xdr:row>
      <xdr:rowOff>2861</xdr:rowOff>
    </xdr:to>
    <xdr:sp macro="" textlink="">
      <xdr:nvSpPr>
        <xdr:cNvPr id="432" name="Flowchart: Connector 431"/>
        <xdr:cNvSpPr/>
      </xdr:nvSpPr>
      <xdr:spPr>
        <a:xfrm>
          <a:off x="42116645" y="13564996"/>
          <a:ext cx="140678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69</xdr:col>
      <xdr:colOff>249142</xdr:colOff>
      <xdr:row>67</xdr:row>
      <xdr:rowOff>145004</xdr:rowOff>
    </xdr:from>
    <xdr:to>
      <xdr:col>70</xdr:col>
      <xdr:colOff>212507</xdr:colOff>
      <xdr:row>68</xdr:row>
      <xdr:rowOff>145004</xdr:rowOff>
    </xdr:to>
    <xdr:sp macro="" textlink="">
      <xdr:nvSpPr>
        <xdr:cNvPr id="433" name="TextBox 432"/>
        <xdr:cNvSpPr txBox="1"/>
      </xdr:nvSpPr>
      <xdr:spPr>
        <a:xfrm>
          <a:off x="42311542" y="12908504"/>
          <a:ext cx="572965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69</xdr:col>
      <xdr:colOff>225694</xdr:colOff>
      <xdr:row>69</xdr:row>
      <xdr:rowOff>77596</xdr:rowOff>
    </xdr:from>
    <xdr:to>
      <xdr:col>70</xdr:col>
      <xdr:colOff>366372</xdr:colOff>
      <xdr:row>70</xdr:row>
      <xdr:rowOff>77596</xdr:rowOff>
    </xdr:to>
    <xdr:sp macro="" textlink="">
      <xdr:nvSpPr>
        <xdr:cNvPr id="434" name="TextBox 433"/>
        <xdr:cNvSpPr txBox="1"/>
      </xdr:nvSpPr>
      <xdr:spPr>
        <a:xfrm>
          <a:off x="42288094" y="13222096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69</xdr:col>
      <xdr:colOff>312151</xdr:colOff>
      <xdr:row>71</xdr:row>
      <xdr:rowOff>32170</xdr:rowOff>
    </xdr:from>
    <xdr:to>
      <xdr:col>70</xdr:col>
      <xdr:colOff>452829</xdr:colOff>
      <xdr:row>72</xdr:row>
      <xdr:rowOff>32170</xdr:rowOff>
    </xdr:to>
    <xdr:sp macro="" textlink="">
      <xdr:nvSpPr>
        <xdr:cNvPr id="435" name="TextBox 434"/>
        <xdr:cNvSpPr txBox="1"/>
      </xdr:nvSpPr>
      <xdr:spPr>
        <a:xfrm>
          <a:off x="42374551" y="13557670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70</xdr:col>
      <xdr:colOff>408877</xdr:colOff>
      <xdr:row>67</xdr:row>
      <xdr:rowOff>187498</xdr:rowOff>
    </xdr:from>
    <xdr:to>
      <xdr:col>70</xdr:col>
      <xdr:colOff>548089</xdr:colOff>
      <xdr:row>68</xdr:row>
      <xdr:rowOff>150863</xdr:rowOff>
    </xdr:to>
    <xdr:sp macro="" textlink="">
      <xdr:nvSpPr>
        <xdr:cNvPr id="436" name="Flowchart: Connector 435"/>
        <xdr:cNvSpPr/>
      </xdr:nvSpPr>
      <xdr:spPr>
        <a:xfrm>
          <a:off x="43080877" y="12950998"/>
          <a:ext cx="139212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70</xdr:col>
      <xdr:colOff>407411</xdr:colOff>
      <xdr:row>69</xdr:row>
      <xdr:rowOff>112764</xdr:rowOff>
    </xdr:from>
    <xdr:to>
      <xdr:col>70</xdr:col>
      <xdr:colOff>546623</xdr:colOff>
      <xdr:row>70</xdr:row>
      <xdr:rowOff>76129</xdr:rowOff>
    </xdr:to>
    <xdr:sp macro="" textlink="">
      <xdr:nvSpPr>
        <xdr:cNvPr id="437" name="Flowchart: Connector 436"/>
        <xdr:cNvSpPr/>
      </xdr:nvSpPr>
      <xdr:spPr>
        <a:xfrm>
          <a:off x="43079411" y="13257264"/>
          <a:ext cx="139212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70</xdr:col>
      <xdr:colOff>398619</xdr:colOff>
      <xdr:row>71</xdr:row>
      <xdr:rowOff>45356</xdr:rowOff>
    </xdr:from>
    <xdr:to>
      <xdr:col>70</xdr:col>
      <xdr:colOff>537831</xdr:colOff>
      <xdr:row>72</xdr:row>
      <xdr:rowOff>8721</xdr:rowOff>
    </xdr:to>
    <xdr:sp macro="" textlink="">
      <xdr:nvSpPr>
        <xdr:cNvPr id="438" name="Flowchart: Connector 437"/>
        <xdr:cNvSpPr/>
      </xdr:nvSpPr>
      <xdr:spPr>
        <a:xfrm>
          <a:off x="43070619" y="13570856"/>
          <a:ext cx="139212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70</xdr:col>
      <xdr:colOff>592050</xdr:colOff>
      <xdr:row>67</xdr:row>
      <xdr:rowOff>150864</xdr:rowOff>
    </xdr:from>
    <xdr:to>
      <xdr:col>71</xdr:col>
      <xdr:colOff>555416</xdr:colOff>
      <xdr:row>68</xdr:row>
      <xdr:rowOff>150864</xdr:rowOff>
    </xdr:to>
    <xdr:sp macro="" textlink="">
      <xdr:nvSpPr>
        <xdr:cNvPr id="439" name="TextBox 438"/>
        <xdr:cNvSpPr txBox="1"/>
      </xdr:nvSpPr>
      <xdr:spPr>
        <a:xfrm>
          <a:off x="43264050" y="12914364"/>
          <a:ext cx="57296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70</xdr:col>
      <xdr:colOff>568602</xdr:colOff>
      <xdr:row>69</xdr:row>
      <xdr:rowOff>83456</xdr:rowOff>
    </xdr:from>
    <xdr:to>
      <xdr:col>72</xdr:col>
      <xdr:colOff>99681</xdr:colOff>
      <xdr:row>70</xdr:row>
      <xdr:rowOff>83456</xdr:rowOff>
    </xdr:to>
    <xdr:sp macro="" textlink="">
      <xdr:nvSpPr>
        <xdr:cNvPr id="440" name="TextBox 439"/>
        <xdr:cNvSpPr txBox="1"/>
      </xdr:nvSpPr>
      <xdr:spPr>
        <a:xfrm>
          <a:off x="43240602" y="13227956"/>
          <a:ext cx="75027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71</xdr:col>
      <xdr:colOff>45459</xdr:colOff>
      <xdr:row>71</xdr:row>
      <xdr:rowOff>38030</xdr:rowOff>
    </xdr:from>
    <xdr:to>
      <xdr:col>72</xdr:col>
      <xdr:colOff>187603</xdr:colOff>
      <xdr:row>72</xdr:row>
      <xdr:rowOff>38030</xdr:rowOff>
    </xdr:to>
    <xdr:sp macro="" textlink="">
      <xdr:nvSpPr>
        <xdr:cNvPr id="441" name="TextBox 440"/>
        <xdr:cNvSpPr txBox="1"/>
      </xdr:nvSpPr>
      <xdr:spPr>
        <a:xfrm>
          <a:off x="43327059" y="13563530"/>
          <a:ext cx="751744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72</xdr:col>
      <xdr:colOff>96757</xdr:colOff>
      <xdr:row>68</xdr:row>
      <xdr:rowOff>162584</xdr:rowOff>
    </xdr:from>
    <xdr:to>
      <xdr:col>73</xdr:col>
      <xdr:colOff>356088</xdr:colOff>
      <xdr:row>70</xdr:row>
      <xdr:rowOff>134747</xdr:rowOff>
    </xdr:to>
    <xdr:sp macro="" textlink="">
      <xdr:nvSpPr>
        <xdr:cNvPr id="442" name="TextBox 441"/>
        <xdr:cNvSpPr txBox="1"/>
      </xdr:nvSpPr>
      <xdr:spPr>
        <a:xfrm>
          <a:off x="43987957" y="13116584"/>
          <a:ext cx="868931" cy="353163"/>
        </a:xfrm>
        <a:prstGeom prst="rect">
          <a:avLst/>
        </a:prstGeom>
        <a:noFill/>
        <a:ln w="381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COST</a:t>
          </a:r>
        </a:p>
      </xdr:txBody>
    </xdr:sp>
    <xdr:clientData/>
  </xdr:twoCellAnchor>
  <xdr:twoCellAnchor>
    <xdr:from>
      <xdr:col>62</xdr:col>
      <xdr:colOff>481697</xdr:colOff>
      <xdr:row>57</xdr:row>
      <xdr:rowOff>52573</xdr:rowOff>
    </xdr:from>
    <xdr:to>
      <xdr:col>62</xdr:col>
      <xdr:colOff>486776</xdr:colOff>
      <xdr:row>64</xdr:row>
      <xdr:rowOff>88696</xdr:rowOff>
    </xdr:to>
    <xdr:cxnSp macro="">
      <xdr:nvCxnSpPr>
        <xdr:cNvPr id="443" name="Straight Arrow Connector 442"/>
        <xdr:cNvCxnSpPr/>
      </xdr:nvCxnSpPr>
      <xdr:spPr>
        <a:xfrm rot="5400000">
          <a:off x="37594625" y="11593345"/>
          <a:ext cx="1369623" cy="5079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123823</xdr:colOff>
      <xdr:row>56</xdr:row>
      <xdr:rowOff>42429</xdr:rowOff>
    </xdr:from>
    <xdr:to>
      <xdr:col>96</xdr:col>
      <xdr:colOff>523874</xdr:colOff>
      <xdr:row>66</xdr:row>
      <xdr:rowOff>80529</xdr:rowOff>
    </xdr:to>
    <xdr:sp macro="" textlink="">
      <xdr:nvSpPr>
        <xdr:cNvPr id="444" name="Rectangle 443"/>
        <xdr:cNvSpPr/>
      </xdr:nvSpPr>
      <xdr:spPr>
        <a:xfrm>
          <a:off x="55597423" y="10710429"/>
          <a:ext cx="3448051" cy="19431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91</xdr:col>
      <xdr:colOff>276225</xdr:colOff>
      <xdr:row>58</xdr:row>
      <xdr:rowOff>185304</xdr:rowOff>
    </xdr:from>
    <xdr:to>
      <xdr:col>92</xdr:col>
      <xdr:colOff>152400</xdr:colOff>
      <xdr:row>59</xdr:row>
      <xdr:rowOff>185304</xdr:rowOff>
    </xdr:to>
    <xdr:sp macro="" textlink="">
      <xdr:nvSpPr>
        <xdr:cNvPr id="445" name="Rectangle 444"/>
        <xdr:cNvSpPr/>
      </xdr:nvSpPr>
      <xdr:spPr>
        <a:xfrm>
          <a:off x="55749825" y="11234304"/>
          <a:ext cx="485775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92</xdr:col>
      <xdr:colOff>352425</xdr:colOff>
      <xdr:row>59</xdr:row>
      <xdr:rowOff>13853</xdr:rowOff>
    </xdr:from>
    <xdr:to>
      <xdr:col>93</xdr:col>
      <xdr:colOff>381000</xdr:colOff>
      <xdr:row>60</xdr:row>
      <xdr:rowOff>4328</xdr:rowOff>
    </xdr:to>
    <xdr:sp macro="" textlink="">
      <xdr:nvSpPr>
        <xdr:cNvPr id="446" name="Rectangle 445"/>
        <xdr:cNvSpPr/>
      </xdr:nvSpPr>
      <xdr:spPr>
        <a:xfrm>
          <a:off x="56435625" y="11253353"/>
          <a:ext cx="638175" cy="1809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94</xdr:col>
      <xdr:colOff>104775</xdr:colOff>
      <xdr:row>59</xdr:row>
      <xdr:rowOff>13854</xdr:rowOff>
    </xdr:from>
    <xdr:to>
      <xdr:col>94</xdr:col>
      <xdr:colOff>590550</xdr:colOff>
      <xdr:row>60</xdr:row>
      <xdr:rowOff>13854</xdr:rowOff>
    </xdr:to>
    <xdr:sp macro="" textlink="">
      <xdr:nvSpPr>
        <xdr:cNvPr id="447" name="Rectangle 446"/>
        <xdr:cNvSpPr/>
      </xdr:nvSpPr>
      <xdr:spPr>
        <a:xfrm>
          <a:off x="57407175" y="11253354"/>
          <a:ext cx="485775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95</xdr:col>
      <xdr:colOff>304800</xdr:colOff>
      <xdr:row>59</xdr:row>
      <xdr:rowOff>32904</xdr:rowOff>
    </xdr:from>
    <xdr:to>
      <xdr:col>96</xdr:col>
      <xdr:colOff>180975</xdr:colOff>
      <xdr:row>60</xdr:row>
      <xdr:rowOff>32904</xdr:rowOff>
    </xdr:to>
    <xdr:sp macro="" textlink="">
      <xdr:nvSpPr>
        <xdr:cNvPr id="448" name="Rectangle 447"/>
        <xdr:cNvSpPr/>
      </xdr:nvSpPr>
      <xdr:spPr>
        <a:xfrm>
          <a:off x="58216800" y="11272404"/>
          <a:ext cx="485775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oneCellAnchor>
    <xdr:from>
      <xdr:col>91</xdr:col>
      <xdr:colOff>285750</xdr:colOff>
      <xdr:row>57</xdr:row>
      <xdr:rowOff>128154</xdr:rowOff>
    </xdr:from>
    <xdr:ext cx="485261" cy="264560"/>
    <xdr:sp macro="" textlink="">
      <xdr:nvSpPr>
        <xdr:cNvPr id="449" name="TextBox 448"/>
        <xdr:cNvSpPr txBox="1"/>
      </xdr:nvSpPr>
      <xdr:spPr>
        <a:xfrm>
          <a:off x="55759350" y="10986654"/>
          <a:ext cx="4852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P-NO</a:t>
          </a:r>
        </a:p>
      </xdr:txBody>
    </xdr:sp>
    <xdr:clientData/>
  </xdr:oneCellAnchor>
  <xdr:oneCellAnchor>
    <xdr:from>
      <xdr:col>92</xdr:col>
      <xdr:colOff>257175</xdr:colOff>
      <xdr:row>57</xdr:row>
      <xdr:rowOff>128154</xdr:rowOff>
    </xdr:from>
    <xdr:ext cx="743280" cy="264560"/>
    <xdr:sp macro="" textlink="">
      <xdr:nvSpPr>
        <xdr:cNvPr id="450" name="TextBox 449"/>
        <xdr:cNvSpPr txBox="1"/>
      </xdr:nvSpPr>
      <xdr:spPr>
        <a:xfrm>
          <a:off x="56340375" y="10986654"/>
          <a:ext cx="7432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REC DATE</a:t>
          </a:r>
        </a:p>
      </xdr:txBody>
    </xdr:sp>
    <xdr:clientData/>
  </xdr:oneCellAnchor>
  <xdr:oneCellAnchor>
    <xdr:from>
      <xdr:col>94</xdr:col>
      <xdr:colOff>85725</xdr:colOff>
      <xdr:row>57</xdr:row>
      <xdr:rowOff>128154</xdr:rowOff>
    </xdr:from>
    <xdr:ext cx="470513" cy="264560"/>
    <xdr:sp macro="" textlink="">
      <xdr:nvSpPr>
        <xdr:cNvPr id="451" name="TextBox 450"/>
        <xdr:cNvSpPr txBox="1"/>
      </xdr:nvSpPr>
      <xdr:spPr>
        <a:xfrm>
          <a:off x="57388125" y="10986654"/>
          <a:ext cx="4705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UNIT</a:t>
          </a:r>
        </a:p>
      </xdr:txBody>
    </xdr:sp>
    <xdr:clientData/>
  </xdr:oneCellAnchor>
  <xdr:oneCellAnchor>
    <xdr:from>
      <xdr:col>95</xdr:col>
      <xdr:colOff>285750</xdr:colOff>
      <xdr:row>57</xdr:row>
      <xdr:rowOff>156729</xdr:rowOff>
    </xdr:from>
    <xdr:ext cx="560795" cy="264560"/>
    <xdr:sp macro="" textlink="">
      <xdr:nvSpPr>
        <xdr:cNvPr id="452" name="TextBox 451"/>
        <xdr:cNvSpPr txBox="1"/>
      </xdr:nvSpPr>
      <xdr:spPr>
        <a:xfrm>
          <a:off x="58197750" y="11015229"/>
          <a:ext cx="56079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PHASE</a:t>
          </a:r>
        </a:p>
      </xdr:txBody>
    </xdr:sp>
    <xdr:clientData/>
  </xdr:oneCellAnchor>
  <xdr:twoCellAnchor>
    <xdr:from>
      <xdr:col>91</xdr:col>
      <xdr:colOff>304800</xdr:colOff>
      <xdr:row>61</xdr:row>
      <xdr:rowOff>147203</xdr:rowOff>
    </xdr:from>
    <xdr:to>
      <xdr:col>96</xdr:col>
      <xdr:colOff>142875</xdr:colOff>
      <xdr:row>62</xdr:row>
      <xdr:rowOff>156728</xdr:rowOff>
    </xdr:to>
    <xdr:sp macro="" textlink="">
      <xdr:nvSpPr>
        <xdr:cNvPr id="453" name="Rectangle 452"/>
        <xdr:cNvSpPr/>
      </xdr:nvSpPr>
      <xdr:spPr>
        <a:xfrm>
          <a:off x="55778400" y="11767703"/>
          <a:ext cx="2886075" cy="2000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oneCellAnchor>
    <xdr:from>
      <xdr:col>91</xdr:col>
      <xdr:colOff>285750</xdr:colOff>
      <xdr:row>60</xdr:row>
      <xdr:rowOff>99579</xdr:rowOff>
    </xdr:from>
    <xdr:ext cx="485839" cy="264560"/>
    <xdr:sp macro="" textlink="">
      <xdr:nvSpPr>
        <xdr:cNvPr id="454" name="TextBox 453"/>
        <xdr:cNvSpPr txBox="1"/>
      </xdr:nvSpPr>
      <xdr:spPr>
        <a:xfrm>
          <a:off x="55759350" y="11529579"/>
          <a:ext cx="4858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TITLE</a:t>
          </a:r>
        </a:p>
      </xdr:txBody>
    </xdr:sp>
    <xdr:clientData/>
  </xdr:oneCellAnchor>
  <xdr:twoCellAnchor>
    <xdr:from>
      <xdr:col>95</xdr:col>
      <xdr:colOff>276225</xdr:colOff>
      <xdr:row>64</xdr:row>
      <xdr:rowOff>4328</xdr:rowOff>
    </xdr:from>
    <xdr:to>
      <xdr:col>96</xdr:col>
      <xdr:colOff>333375</xdr:colOff>
      <xdr:row>66</xdr:row>
      <xdr:rowOff>13853</xdr:rowOff>
    </xdr:to>
    <xdr:sp macro="" textlink="">
      <xdr:nvSpPr>
        <xdr:cNvPr id="455" name="Rectangle 454"/>
        <xdr:cNvSpPr/>
      </xdr:nvSpPr>
      <xdr:spPr>
        <a:xfrm>
          <a:off x="58188225" y="12196328"/>
          <a:ext cx="666750" cy="3905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92</xdr:col>
      <xdr:colOff>266700</xdr:colOff>
      <xdr:row>69</xdr:row>
      <xdr:rowOff>99579</xdr:rowOff>
    </xdr:from>
    <xdr:to>
      <xdr:col>94</xdr:col>
      <xdr:colOff>581025</xdr:colOff>
      <xdr:row>74</xdr:row>
      <xdr:rowOff>185304</xdr:rowOff>
    </xdr:to>
    <xdr:sp macro="" textlink="">
      <xdr:nvSpPr>
        <xdr:cNvPr id="456" name="Flowchart: Decision 455"/>
        <xdr:cNvSpPr/>
      </xdr:nvSpPr>
      <xdr:spPr>
        <a:xfrm>
          <a:off x="56349900" y="13244079"/>
          <a:ext cx="1533525" cy="1038225"/>
        </a:xfrm>
        <a:prstGeom prst="flowChartDecision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</a:t>
          </a:r>
        </a:p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P-NO =  TRUE</a:t>
          </a:r>
          <a:endParaRPr lang="en-IN" sz="1100"/>
        </a:p>
      </xdr:txBody>
    </xdr:sp>
    <xdr:clientData/>
  </xdr:twoCellAnchor>
  <xdr:twoCellAnchor>
    <xdr:from>
      <xdr:col>91</xdr:col>
      <xdr:colOff>47623</xdr:colOff>
      <xdr:row>76</xdr:row>
      <xdr:rowOff>109103</xdr:rowOff>
    </xdr:from>
    <xdr:to>
      <xdr:col>93</xdr:col>
      <xdr:colOff>342900</xdr:colOff>
      <xdr:row>80</xdr:row>
      <xdr:rowOff>185304</xdr:rowOff>
    </xdr:to>
    <xdr:sp macro="" textlink="">
      <xdr:nvSpPr>
        <xdr:cNvPr id="457" name="Rectangle 456"/>
        <xdr:cNvSpPr/>
      </xdr:nvSpPr>
      <xdr:spPr>
        <a:xfrm>
          <a:off x="55521223" y="14587103"/>
          <a:ext cx="1514477" cy="83820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1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CREATE NEW WORKSHEET WITH NAME = PNO</a:t>
          </a:r>
        </a:p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94</xdr:col>
      <xdr:colOff>219073</xdr:colOff>
      <xdr:row>76</xdr:row>
      <xdr:rowOff>109103</xdr:rowOff>
    </xdr:from>
    <xdr:to>
      <xdr:col>96</xdr:col>
      <xdr:colOff>514350</xdr:colOff>
      <xdr:row>81</xdr:row>
      <xdr:rowOff>4329</xdr:rowOff>
    </xdr:to>
    <xdr:sp macro="" textlink="">
      <xdr:nvSpPr>
        <xdr:cNvPr id="458" name="Rectangle 457"/>
        <xdr:cNvSpPr/>
      </xdr:nvSpPr>
      <xdr:spPr>
        <a:xfrm>
          <a:off x="57521473" y="14587103"/>
          <a:ext cx="1514477" cy="84772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1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GO TO WORKSHEET  WITH NAME = PNO</a:t>
          </a:r>
        </a:p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91</xdr:col>
      <xdr:colOff>361950</xdr:colOff>
      <xdr:row>87</xdr:row>
      <xdr:rowOff>13853</xdr:rowOff>
    </xdr:from>
    <xdr:to>
      <xdr:col>96</xdr:col>
      <xdr:colOff>485775</xdr:colOff>
      <xdr:row>102</xdr:row>
      <xdr:rowOff>61479</xdr:rowOff>
    </xdr:to>
    <xdr:sp macro="" textlink="">
      <xdr:nvSpPr>
        <xdr:cNvPr id="459" name="Rectangle 458"/>
        <xdr:cNvSpPr/>
      </xdr:nvSpPr>
      <xdr:spPr>
        <a:xfrm>
          <a:off x="55835550" y="16587353"/>
          <a:ext cx="3171825" cy="290512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91</xdr:col>
      <xdr:colOff>600075</xdr:colOff>
      <xdr:row>92</xdr:row>
      <xdr:rowOff>156728</xdr:rowOff>
    </xdr:from>
    <xdr:to>
      <xdr:col>92</xdr:col>
      <xdr:colOff>600075</xdr:colOff>
      <xdr:row>94</xdr:row>
      <xdr:rowOff>32903</xdr:rowOff>
    </xdr:to>
    <xdr:sp macro="" textlink="">
      <xdr:nvSpPr>
        <xdr:cNvPr id="460" name="Rectangle 459"/>
        <xdr:cNvSpPr/>
      </xdr:nvSpPr>
      <xdr:spPr>
        <a:xfrm>
          <a:off x="56073675" y="17682728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Y/N</a:t>
          </a:r>
        </a:p>
      </xdr:txBody>
    </xdr:sp>
    <xdr:clientData/>
  </xdr:twoCellAnchor>
  <xdr:twoCellAnchor>
    <xdr:from>
      <xdr:col>92</xdr:col>
      <xdr:colOff>304799</xdr:colOff>
      <xdr:row>88</xdr:row>
      <xdr:rowOff>99579</xdr:rowOff>
    </xdr:from>
    <xdr:to>
      <xdr:col>96</xdr:col>
      <xdr:colOff>238124</xdr:colOff>
      <xdr:row>89</xdr:row>
      <xdr:rowOff>118629</xdr:rowOff>
    </xdr:to>
    <xdr:sp macro="" textlink="">
      <xdr:nvSpPr>
        <xdr:cNvPr id="461" name="TextBox 460"/>
        <xdr:cNvSpPr txBox="1"/>
      </xdr:nvSpPr>
      <xdr:spPr>
        <a:xfrm>
          <a:off x="56387999" y="16863579"/>
          <a:ext cx="23717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r>
            <a:rPr lang="en-IN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INTER DEPT COMMUNICATION</a:t>
          </a:r>
        </a:p>
      </xdr:txBody>
    </xdr:sp>
    <xdr:clientData/>
  </xdr:twoCellAnchor>
  <xdr:twoCellAnchor>
    <xdr:from>
      <xdr:col>92</xdr:col>
      <xdr:colOff>0</xdr:colOff>
      <xdr:row>91</xdr:row>
      <xdr:rowOff>109104</xdr:rowOff>
    </xdr:from>
    <xdr:to>
      <xdr:col>93</xdr:col>
      <xdr:colOff>19050</xdr:colOff>
      <xdr:row>92</xdr:row>
      <xdr:rowOff>109104</xdr:rowOff>
    </xdr:to>
    <xdr:sp macro="" textlink="">
      <xdr:nvSpPr>
        <xdr:cNvPr id="462" name="TextBox 461"/>
        <xdr:cNvSpPr txBox="1"/>
      </xdr:nvSpPr>
      <xdr:spPr>
        <a:xfrm>
          <a:off x="56083200" y="17444604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INSTRU</a:t>
          </a:r>
        </a:p>
      </xdr:txBody>
    </xdr:sp>
    <xdr:clientData/>
  </xdr:twoCellAnchor>
  <xdr:twoCellAnchor>
    <xdr:from>
      <xdr:col>93</xdr:col>
      <xdr:colOff>409575</xdr:colOff>
      <xdr:row>92</xdr:row>
      <xdr:rowOff>147203</xdr:rowOff>
    </xdr:from>
    <xdr:to>
      <xdr:col>94</xdr:col>
      <xdr:colOff>409575</xdr:colOff>
      <xdr:row>94</xdr:row>
      <xdr:rowOff>23378</xdr:rowOff>
    </xdr:to>
    <xdr:sp macro="" textlink="">
      <xdr:nvSpPr>
        <xdr:cNvPr id="463" name="Rectangle 462"/>
        <xdr:cNvSpPr/>
      </xdr:nvSpPr>
      <xdr:spPr>
        <a:xfrm>
          <a:off x="57102375" y="17673203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Y/N</a:t>
          </a:r>
        </a:p>
      </xdr:txBody>
    </xdr:sp>
    <xdr:clientData/>
  </xdr:twoCellAnchor>
  <xdr:twoCellAnchor>
    <xdr:from>
      <xdr:col>93</xdr:col>
      <xdr:colOff>523875</xdr:colOff>
      <xdr:row>91</xdr:row>
      <xdr:rowOff>80529</xdr:rowOff>
    </xdr:from>
    <xdr:to>
      <xdr:col>94</xdr:col>
      <xdr:colOff>542925</xdr:colOff>
      <xdr:row>92</xdr:row>
      <xdr:rowOff>80529</xdr:rowOff>
    </xdr:to>
    <xdr:sp macro="" textlink="">
      <xdr:nvSpPr>
        <xdr:cNvPr id="464" name="TextBox 463"/>
        <xdr:cNvSpPr txBox="1"/>
      </xdr:nvSpPr>
      <xdr:spPr>
        <a:xfrm>
          <a:off x="57216675" y="17416029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ELE</a:t>
          </a:r>
        </a:p>
      </xdr:txBody>
    </xdr:sp>
    <xdr:clientData/>
  </xdr:twoCellAnchor>
  <xdr:twoCellAnchor>
    <xdr:from>
      <xdr:col>95</xdr:col>
      <xdr:colOff>133350</xdr:colOff>
      <xdr:row>92</xdr:row>
      <xdr:rowOff>137678</xdr:rowOff>
    </xdr:from>
    <xdr:to>
      <xdr:col>96</xdr:col>
      <xdr:colOff>133350</xdr:colOff>
      <xdr:row>94</xdr:row>
      <xdr:rowOff>13853</xdr:rowOff>
    </xdr:to>
    <xdr:sp macro="" textlink="">
      <xdr:nvSpPr>
        <xdr:cNvPr id="465" name="Rectangle 464"/>
        <xdr:cNvSpPr/>
      </xdr:nvSpPr>
      <xdr:spPr>
        <a:xfrm>
          <a:off x="58045350" y="17663678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Y/N</a:t>
          </a:r>
        </a:p>
      </xdr:txBody>
    </xdr:sp>
    <xdr:clientData/>
  </xdr:twoCellAnchor>
  <xdr:twoCellAnchor>
    <xdr:from>
      <xdr:col>95</xdr:col>
      <xdr:colOff>171450</xdr:colOff>
      <xdr:row>91</xdr:row>
      <xdr:rowOff>80529</xdr:rowOff>
    </xdr:from>
    <xdr:to>
      <xdr:col>96</xdr:col>
      <xdr:colOff>190500</xdr:colOff>
      <xdr:row>92</xdr:row>
      <xdr:rowOff>80529</xdr:rowOff>
    </xdr:to>
    <xdr:sp macro="" textlink="">
      <xdr:nvSpPr>
        <xdr:cNvPr id="466" name="TextBox 465"/>
        <xdr:cNvSpPr txBox="1"/>
      </xdr:nvSpPr>
      <xdr:spPr>
        <a:xfrm>
          <a:off x="58083450" y="17416029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CIVIL</a:t>
          </a:r>
        </a:p>
      </xdr:txBody>
    </xdr:sp>
    <xdr:clientData/>
  </xdr:twoCellAnchor>
  <xdr:twoCellAnchor>
    <xdr:from>
      <xdr:col>92</xdr:col>
      <xdr:colOff>57150</xdr:colOff>
      <xdr:row>95</xdr:row>
      <xdr:rowOff>137679</xdr:rowOff>
    </xdr:from>
    <xdr:to>
      <xdr:col>92</xdr:col>
      <xdr:colOff>542925</xdr:colOff>
      <xdr:row>97</xdr:row>
      <xdr:rowOff>118629</xdr:rowOff>
    </xdr:to>
    <xdr:sp macro="" textlink="">
      <xdr:nvSpPr>
        <xdr:cNvPr id="467" name="Rectangle 466"/>
        <xdr:cNvSpPr/>
      </xdr:nvSpPr>
      <xdr:spPr>
        <a:xfrm>
          <a:off x="56140350" y="18235179"/>
          <a:ext cx="485775" cy="3619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IOM</a:t>
          </a:r>
        </a:p>
      </xdr:txBody>
    </xdr:sp>
    <xdr:clientData/>
  </xdr:twoCellAnchor>
  <xdr:twoCellAnchor>
    <xdr:from>
      <xdr:col>93</xdr:col>
      <xdr:colOff>438150</xdr:colOff>
      <xdr:row>95</xdr:row>
      <xdr:rowOff>166254</xdr:rowOff>
    </xdr:from>
    <xdr:to>
      <xdr:col>94</xdr:col>
      <xdr:colOff>314325</xdr:colOff>
      <xdr:row>97</xdr:row>
      <xdr:rowOff>147204</xdr:rowOff>
    </xdr:to>
    <xdr:sp macro="" textlink="">
      <xdr:nvSpPr>
        <xdr:cNvPr id="468" name="Rectangle 467"/>
        <xdr:cNvSpPr/>
      </xdr:nvSpPr>
      <xdr:spPr>
        <a:xfrm>
          <a:off x="57130950" y="18263754"/>
          <a:ext cx="485775" cy="3619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IOM</a:t>
          </a:r>
        </a:p>
      </xdr:txBody>
    </xdr:sp>
    <xdr:clientData/>
  </xdr:twoCellAnchor>
  <xdr:twoCellAnchor>
    <xdr:from>
      <xdr:col>95</xdr:col>
      <xdr:colOff>200025</xdr:colOff>
      <xdr:row>95</xdr:row>
      <xdr:rowOff>156729</xdr:rowOff>
    </xdr:from>
    <xdr:to>
      <xdr:col>96</xdr:col>
      <xdr:colOff>76200</xdr:colOff>
      <xdr:row>97</xdr:row>
      <xdr:rowOff>137679</xdr:rowOff>
    </xdr:to>
    <xdr:sp macro="" textlink="">
      <xdr:nvSpPr>
        <xdr:cNvPr id="469" name="Rectangle 468"/>
        <xdr:cNvSpPr/>
      </xdr:nvSpPr>
      <xdr:spPr>
        <a:xfrm>
          <a:off x="58112025" y="18254229"/>
          <a:ext cx="485775" cy="3619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IOM</a:t>
          </a:r>
        </a:p>
      </xdr:txBody>
    </xdr:sp>
    <xdr:clientData/>
  </xdr:twoCellAnchor>
  <xdr:twoCellAnchor>
    <xdr:from>
      <xdr:col>91</xdr:col>
      <xdr:colOff>552450</xdr:colOff>
      <xdr:row>99</xdr:row>
      <xdr:rowOff>166253</xdr:rowOff>
    </xdr:from>
    <xdr:to>
      <xdr:col>92</xdr:col>
      <xdr:colOff>552450</xdr:colOff>
      <xdr:row>101</xdr:row>
      <xdr:rowOff>42428</xdr:rowOff>
    </xdr:to>
    <xdr:sp macro="" textlink="">
      <xdr:nvSpPr>
        <xdr:cNvPr id="470" name="Rectangle 469"/>
        <xdr:cNvSpPr/>
      </xdr:nvSpPr>
      <xdr:spPr>
        <a:xfrm>
          <a:off x="56026050" y="19025753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91</xdr:col>
      <xdr:colOff>561975</xdr:colOff>
      <xdr:row>98</xdr:row>
      <xdr:rowOff>90054</xdr:rowOff>
    </xdr:from>
    <xdr:to>
      <xdr:col>92</xdr:col>
      <xdr:colOff>581025</xdr:colOff>
      <xdr:row>99</xdr:row>
      <xdr:rowOff>90054</xdr:rowOff>
    </xdr:to>
    <xdr:sp macro="" textlink="">
      <xdr:nvSpPr>
        <xdr:cNvPr id="471" name="TextBox 470"/>
        <xdr:cNvSpPr txBox="1"/>
      </xdr:nvSpPr>
      <xdr:spPr>
        <a:xfrm>
          <a:off x="56035575" y="18759054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COST</a:t>
          </a:r>
        </a:p>
      </xdr:txBody>
    </xdr:sp>
    <xdr:clientData/>
  </xdr:twoCellAnchor>
  <xdr:twoCellAnchor>
    <xdr:from>
      <xdr:col>93</xdr:col>
      <xdr:colOff>390525</xdr:colOff>
      <xdr:row>99</xdr:row>
      <xdr:rowOff>147203</xdr:rowOff>
    </xdr:from>
    <xdr:to>
      <xdr:col>94</xdr:col>
      <xdr:colOff>390525</xdr:colOff>
      <xdr:row>101</xdr:row>
      <xdr:rowOff>23378</xdr:rowOff>
    </xdr:to>
    <xdr:sp macro="" textlink="">
      <xdr:nvSpPr>
        <xdr:cNvPr id="472" name="Rectangle 471"/>
        <xdr:cNvSpPr/>
      </xdr:nvSpPr>
      <xdr:spPr>
        <a:xfrm>
          <a:off x="57083325" y="19006703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93</xdr:col>
      <xdr:colOff>400050</xdr:colOff>
      <xdr:row>98</xdr:row>
      <xdr:rowOff>71004</xdr:rowOff>
    </xdr:from>
    <xdr:to>
      <xdr:col>94</xdr:col>
      <xdr:colOff>419100</xdr:colOff>
      <xdr:row>99</xdr:row>
      <xdr:rowOff>71004</xdr:rowOff>
    </xdr:to>
    <xdr:sp macro="" textlink="">
      <xdr:nvSpPr>
        <xdr:cNvPr id="473" name="TextBox 472"/>
        <xdr:cNvSpPr txBox="1"/>
      </xdr:nvSpPr>
      <xdr:spPr>
        <a:xfrm>
          <a:off x="57092850" y="18740004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COST</a:t>
          </a:r>
        </a:p>
      </xdr:txBody>
    </xdr:sp>
    <xdr:clientData/>
  </xdr:twoCellAnchor>
  <xdr:twoCellAnchor>
    <xdr:from>
      <xdr:col>95</xdr:col>
      <xdr:colOff>180975</xdr:colOff>
      <xdr:row>99</xdr:row>
      <xdr:rowOff>175778</xdr:rowOff>
    </xdr:from>
    <xdr:to>
      <xdr:col>96</xdr:col>
      <xdr:colOff>180975</xdr:colOff>
      <xdr:row>101</xdr:row>
      <xdr:rowOff>51953</xdr:rowOff>
    </xdr:to>
    <xdr:sp macro="" textlink="">
      <xdr:nvSpPr>
        <xdr:cNvPr id="474" name="Rectangle 473"/>
        <xdr:cNvSpPr/>
      </xdr:nvSpPr>
      <xdr:spPr>
        <a:xfrm>
          <a:off x="58092975" y="19035278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95</xdr:col>
      <xdr:colOff>190500</xdr:colOff>
      <xdr:row>98</xdr:row>
      <xdr:rowOff>99579</xdr:rowOff>
    </xdr:from>
    <xdr:to>
      <xdr:col>96</xdr:col>
      <xdr:colOff>209550</xdr:colOff>
      <xdr:row>99</xdr:row>
      <xdr:rowOff>99579</xdr:rowOff>
    </xdr:to>
    <xdr:sp macro="" textlink="">
      <xdr:nvSpPr>
        <xdr:cNvPr id="475" name="TextBox 474"/>
        <xdr:cNvSpPr txBox="1"/>
      </xdr:nvSpPr>
      <xdr:spPr>
        <a:xfrm>
          <a:off x="58102500" y="18768579"/>
          <a:ext cx="6286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COST</a:t>
          </a:r>
        </a:p>
      </xdr:txBody>
    </xdr:sp>
    <xdr:clientData/>
  </xdr:twoCellAnchor>
  <xdr:twoCellAnchor>
    <xdr:from>
      <xdr:col>91</xdr:col>
      <xdr:colOff>591675</xdr:colOff>
      <xdr:row>106</xdr:row>
      <xdr:rowOff>90054</xdr:rowOff>
    </xdr:from>
    <xdr:to>
      <xdr:col>96</xdr:col>
      <xdr:colOff>310407</xdr:colOff>
      <xdr:row>118</xdr:row>
      <xdr:rowOff>185304</xdr:rowOff>
    </xdr:to>
    <xdr:sp macro="" textlink="">
      <xdr:nvSpPr>
        <xdr:cNvPr id="476" name="Rectangle 475"/>
        <xdr:cNvSpPr/>
      </xdr:nvSpPr>
      <xdr:spPr>
        <a:xfrm>
          <a:off x="56065275" y="20283054"/>
          <a:ext cx="2766732" cy="238125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93</xdr:col>
      <xdr:colOff>479055</xdr:colOff>
      <xdr:row>109</xdr:row>
      <xdr:rowOff>128153</xdr:rowOff>
    </xdr:from>
    <xdr:to>
      <xdr:col>94</xdr:col>
      <xdr:colOff>479055</xdr:colOff>
      <xdr:row>111</xdr:row>
      <xdr:rowOff>4328</xdr:rowOff>
    </xdr:to>
    <xdr:sp macro="" textlink="">
      <xdr:nvSpPr>
        <xdr:cNvPr id="477" name="Rectangle 476"/>
        <xdr:cNvSpPr/>
      </xdr:nvSpPr>
      <xdr:spPr>
        <a:xfrm>
          <a:off x="57171855" y="20892653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DATE</a:t>
          </a:r>
        </a:p>
      </xdr:txBody>
    </xdr:sp>
    <xdr:clientData/>
  </xdr:twoCellAnchor>
  <xdr:twoCellAnchor>
    <xdr:from>
      <xdr:col>93</xdr:col>
      <xdr:colOff>393330</xdr:colOff>
      <xdr:row>108</xdr:row>
      <xdr:rowOff>71004</xdr:rowOff>
    </xdr:from>
    <xdr:to>
      <xdr:col>95</xdr:col>
      <xdr:colOff>122148</xdr:colOff>
      <xdr:row>109</xdr:row>
      <xdr:rowOff>51954</xdr:rowOff>
    </xdr:to>
    <xdr:sp macro="" textlink="">
      <xdr:nvSpPr>
        <xdr:cNvPr id="478" name="TextBox 477"/>
        <xdr:cNvSpPr txBox="1"/>
      </xdr:nvSpPr>
      <xdr:spPr>
        <a:xfrm>
          <a:off x="57086130" y="20645004"/>
          <a:ext cx="94801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SITE VISIT</a:t>
          </a:r>
        </a:p>
      </xdr:txBody>
    </xdr:sp>
    <xdr:clientData/>
  </xdr:twoCellAnchor>
  <xdr:twoCellAnchor>
    <xdr:from>
      <xdr:col>92</xdr:col>
      <xdr:colOff>545730</xdr:colOff>
      <xdr:row>107</xdr:row>
      <xdr:rowOff>13854</xdr:rowOff>
    </xdr:from>
    <xdr:to>
      <xdr:col>96</xdr:col>
      <xdr:colOff>479054</xdr:colOff>
      <xdr:row>108</xdr:row>
      <xdr:rowOff>32904</xdr:rowOff>
    </xdr:to>
    <xdr:sp macro="" textlink="">
      <xdr:nvSpPr>
        <xdr:cNvPr id="479" name="TextBox 478"/>
        <xdr:cNvSpPr txBox="1"/>
      </xdr:nvSpPr>
      <xdr:spPr>
        <a:xfrm>
          <a:off x="56628930" y="20397354"/>
          <a:ext cx="2371724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r>
            <a:rPr lang="en-IN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MATERIAL REQUIREMENT</a:t>
          </a:r>
        </a:p>
      </xdr:txBody>
    </xdr:sp>
    <xdr:clientData/>
  </xdr:twoCellAnchor>
  <xdr:twoCellAnchor>
    <xdr:from>
      <xdr:col>93</xdr:col>
      <xdr:colOff>160248</xdr:colOff>
      <xdr:row>112</xdr:row>
      <xdr:rowOff>61479</xdr:rowOff>
    </xdr:from>
    <xdr:to>
      <xdr:col>95</xdr:col>
      <xdr:colOff>317131</xdr:colOff>
      <xdr:row>114</xdr:row>
      <xdr:rowOff>80529</xdr:rowOff>
    </xdr:to>
    <xdr:sp macro="" textlink="">
      <xdr:nvSpPr>
        <xdr:cNvPr id="480" name="Rectangle 479"/>
        <xdr:cNvSpPr/>
      </xdr:nvSpPr>
      <xdr:spPr>
        <a:xfrm>
          <a:off x="56853048" y="21397479"/>
          <a:ext cx="1376083" cy="4000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ENTER MAT DATA</a:t>
          </a:r>
        </a:p>
      </xdr:txBody>
    </xdr:sp>
    <xdr:clientData/>
  </xdr:twoCellAnchor>
  <xdr:twoCellAnchor>
    <xdr:from>
      <xdr:col>97</xdr:col>
      <xdr:colOff>220199</xdr:colOff>
      <xdr:row>107</xdr:row>
      <xdr:rowOff>128153</xdr:rowOff>
    </xdr:from>
    <xdr:to>
      <xdr:col>106</xdr:col>
      <xdr:colOff>134474</xdr:colOff>
      <xdr:row>116</xdr:row>
      <xdr:rowOff>42428</xdr:rowOff>
    </xdr:to>
    <xdr:sp macro="" textlink="">
      <xdr:nvSpPr>
        <xdr:cNvPr id="481" name="Rectangle 480"/>
        <xdr:cNvSpPr/>
      </xdr:nvSpPr>
      <xdr:spPr>
        <a:xfrm>
          <a:off x="59351399" y="20511653"/>
          <a:ext cx="5400675" cy="16287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97</xdr:col>
      <xdr:colOff>393330</xdr:colOff>
      <xdr:row>109</xdr:row>
      <xdr:rowOff>137679</xdr:rowOff>
    </xdr:from>
    <xdr:to>
      <xdr:col>98</xdr:col>
      <xdr:colOff>593356</xdr:colOff>
      <xdr:row>110</xdr:row>
      <xdr:rowOff>147205</xdr:rowOff>
    </xdr:to>
    <xdr:sp macro="" textlink="">
      <xdr:nvSpPr>
        <xdr:cNvPr id="482" name="TextBox 481"/>
        <xdr:cNvSpPr txBox="1"/>
      </xdr:nvSpPr>
      <xdr:spPr>
        <a:xfrm>
          <a:off x="59524530" y="20902179"/>
          <a:ext cx="809626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ITEM ID</a:t>
          </a:r>
        </a:p>
      </xdr:txBody>
    </xdr:sp>
    <xdr:clientData/>
  </xdr:twoCellAnchor>
  <xdr:twoCellAnchor>
    <xdr:from>
      <xdr:col>99</xdr:col>
      <xdr:colOff>169773</xdr:colOff>
      <xdr:row>109</xdr:row>
      <xdr:rowOff>147204</xdr:rowOff>
    </xdr:from>
    <xdr:to>
      <xdr:col>100</xdr:col>
      <xdr:colOff>374281</xdr:colOff>
      <xdr:row>110</xdr:row>
      <xdr:rowOff>156730</xdr:rowOff>
    </xdr:to>
    <xdr:sp macro="" textlink="">
      <xdr:nvSpPr>
        <xdr:cNvPr id="483" name="TextBox 482"/>
        <xdr:cNvSpPr txBox="1"/>
      </xdr:nvSpPr>
      <xdr:spPr>
        <a:xfrm>
          <a:off x="60520173" y="20911704"/>
          <a:ext cx="814108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DESCRIPT</a:t>
          </a:r>
        </a:p>
      </xdr:txBody>
    </xdr:sp>
    <xdr:clientData/>
  </xdr:twoCellAnchor>
  <xdr:twoCellAnchor>
    <xdr:from>
      <xdr:col>101</xdr:col>
      <xdr:colOff>2806</xdr:colOff>
      <xdr:row>109</xdr:row>
      <xdr:rowOff>147204</xdr:rowOff>
    </xdr:from>
    <xdr:to>
      <xdr:col>102</xdr:col>
      <xdr:colOff>198348</xdr:colOff>
      <xdr:row>110</xdr:row>
      <xdr:rowOff>156730</xdr:rowOff>
    </xdr:to>
    <xdr:sp macro="" textlink="">
      <xdr:nvSpPr>
        <xdr:cNvPr id="484" name="TextBox 483"/>
        <xdr:cNvSpPr txBox="1"/>
      </xdr:nvSpPr>
      <xdr:spPr>
        <a:xfrm>
          <a:off x="61572406" y="20911704"/>
          <a:ext cx="805142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REQ QTY</a:t>
          </a:r>
        </a:p>
      </xdr:txBody>
    </xdr:sp>
    <xdr:clientData/>
  </xdr:twoCellAnchor>
  <xdr:twoCellAnchor>
    <xdr:from>
      <xdr:col>102</xdr:col>
      <xdr:colOff>469530</xdr:colOff>
      <xdr:row>109</xdr:row>
      <xdr:rowOff>166254</xdr:rowOff>
    </xdr:from>
    <xdr:to>
      <xdr:col>104</xdr:col>
      <xdr:colOff>74523</xdr:colOff>
      <xdr:row>110</xdr:row>
      <xdr:rowOff>175780</xdr:rowOff>
    </xdr:to>
    <xdr:sp macro="" textlink="">
      <xdr:nvSpPr>
        <xdr:cNvPr id="485" name="TextBox 484"/>
        <xdr:cNvSpPr txBox="1"/>
      </xdr:nvSpPr>
      <xdr:spPr>
        <a:xfrm>
          <a:off x="62648730" y="20930754"/>
          <a:ext cx="824193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COST</a:t>
          </a:r>
        </a:p>
      </xdr:txBody>
    </xdr:sp>
    <xdr:clientData/>
  </xdr:twoCellAnchor>
  <xdr:twoCellAnchor>
    <xdr:from>
      <xdr:col>104</xdr:col>
      <xdr:colOff>255498</xdr:colOff>
      <xdr:row>109</xdr:row>
      <xdr:rowOff>175779</xdr:rowOff>
    </xdr:from>
    <xdr:to>
      <xdr:col>105</xdr:col>
      <xdr:colOff>479055</xdr:colOff>
      <xdr:row>110</xdr:row>
      <xdr:rowOff>185305</xdr:rowOff>
    </xdr:to>
    <xdr:sp macro="" textlink="">
      <xdr:nvSpPr>
        <xdr:cNvPr id="486" name="TextBox 485"/>
        <xdr:cNvSpPr txBox="1"/>
      </xdr:nvSpPr>
      <xdr:spPr>
        <a:xfrm>
          <a:off x="63653898" y="20940279"/>
          <a:ext cx="833157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YEAR</a:t>
          </a:r>
        </a:p>
      </xdr:txBody>
    </xdr:sp>
    <xdr:clientData/>
  </xdr:twoCellAnchor>
  <xdr:twoCellAnchor>
    <xdr:from>
      <xdr:col>97</xdr:col>
      <xdr:colOff>507630</xdr:colOff>
      <xdr:row>111</xdr:row>
      <xdr:rowOff>61478</xdr:rowOff>
    </xdr:from>
    <xdr:to>
      <xdr:col>98</xdr:col>
      <xdr:colOff>507631</xdr:colOff>
      <xdr:row>112</xdr:row>
      <xdr:rowOff>128153</xdr:rowOff>
    </xdr:to>
    <xdr:sp macro="" textlink="">
      <xdr:nvSpPr>
        <xdr:cNvPr id="487" name="Rectangle 486"/>
        <xdr:cNvSpPr/>
      </xdr:nvSpPr>
      <xdr:spPr>
        <a:xfrm>
          <a:off x="59638830" y="21206978"/>
          <a:ext cx="609601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99</xdr:col>
      <xdr:colOff>288555</xdr:colOff>
      <xdr:row>111</xdr:row>
      <xdr:rowOff>61478</xdr:rowOff>
    </xdr:from>
    <xdr:to>
      <xdr:col>100</xdr:col>
      <xdr:colOff>288556</xdr:colOff>
      <xdr:row>112</xdr:row>
      <xdr:rowOff>128153</xdr:rowOff>
    </xdr:to>
    <xdr:sp macro="" textlink="">
      <xdr:nvSpPr>
        <xdr:cNvPr id="488" name="Rectangle 487"/>
        <xdr:cNvSpPr/>
      </xdr:nvSpPr>
      <xdr:spPr>
        <a:xfrm>
          <a:off x="60638955" y="21206978"/>
          <a:ext cx="609601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101</xdr:col>
      <xdr:colOff>112623</xdr:colOff>
      <xdr:row>111</xdr:row>
      <xdr:rowOff>61478</xdr:rowOff>
    </xdr:from>
    <xdr:to>
      <xdr:col>102</xdr:col>
      <xdr:colOff>112623</xdr:colOff>
      <xdr:row>112</xdr:row>
      <xdr:rowOff>128153</xdr:rowOff>
    </xdr:to>
    <xdr:sp macro="" textlink="">
      <xdr:nvSpPr>
        <xdr:cNvPr id="489" name="Rectangle 488"/>
        <xdr:cNvSpPr/>
      </xdr:nvSpPr>
      <xdr:spPr>
        <a:xfrm>
          <a:off x="61682223" y="21206978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102</xdr:col>
      <xdr:colOff>602880</xdr:colOff>
      <xdr:row>111</xdr:row>
      <xdr:rowOff>61478</xdr:rowOff>
    </xdr:from>
    <xdr:to>
      <xdr:col>103</xdr:col>
      <xdr:colOff>602881</xdr:colOff>
      <xdr:row>112</xdr:row>
      <xdr:rowOff>128153</xdr:rowOff>
    </xdr:to>
    <xdr:sp macro="" textlink="">
      <xdr:nvSpPr>
        <xdr:cNvPr id="490" name="Rectangle 489"/>
        <xdr:cNvSpPr/>
      </xdr:nvSpPr>
      <xdr:spPr>
        <a:xfrm>
          <a:off x="62782080" y="21206978"/>
          <a:ext cx="609601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104</xdr:col>
      <xdr:colOff>364755</xdr:colOff>
      <xdr:row>111</xdr:row>
      <xdr:rowOff>61478</xdr:rowOff>
    </xdr:from>
    <xdr:to>
      <xdr:col>105</xdr:col>
      <xdr:colOff>364755</xdr:colOff>
      <xdr:row>112</xdr:row>
      <xdr:rowOff>128153</xdr:rowOff>
    </xdr:to>
    <xdr:sp macro="" textlink="">
      <xdr:nvSpPr>
        <xdr:cNvPr id="491" name="Rectangle 490"/>
        <xdr:cNvSpPr/>
      </xdr:nvSpPr>
      <xdr:spPr>
        <a:xfrm>
          <a:off x="63763155" y="21206978"/>
          <a:ext cx="6096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104</xdr:col>
      <xdr:colOff>345705</xdr:colOff>
      <xdr:row>113</xdr:row>
      <xdr:rowOff>166253</xdr:rowOff>
    </xdr:from>
    <xdr:to>
      <xdr:col>105</xdr:col>
      <xdr:colOff>402855</xdr:colOff>
      <xdr:row>115</xdr:row>
      <xdr:rowOff>175778</xdr:rowOff>
    </xdr:to>
    <xdr:sp macro="" textlink="">
      <xdr:nvSpPr>
        <xdr:cNvPr id="492" name="Rectangle 491"/>
        <xdr:cNvSpPr/>
      </xdr:nvSpPr>
      <xdr:spPr>
        <a:xfrm>
          <a:off x="63744105" y="21692753"/>
          <a:ext cx="666750" cy="3905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100</xdr:col>
      <xdr:colOff>593356</xdr:colOff>
      <xdr:row>121</xdr:row>
      <xdr:rowOff>61479</xdr:rowOff>
    </xdr:from>
    <xdr:to>
      <xdr:col>103</xdr:col>
      <xdr:colOff>298081</xdr:colOff>
      <xdr:row>126</xdr:row>
      <xdr:rowOff>147204</xdr:rowOff>
    </xdr:to>
    <xdr:sp macro="" textlink="">
      <xdr:nvSpPr>
        <xdr:cNvPr id="493" name="Flowchart: Decision 492"/>
        <xdr:cNvSpPr/>
      </xdr:nvSpPr>
      <xdr:spPr>
        <a:xfrm>
          <a:off x="61553356" y="23111979"/>
          <a:ext cx="1533525" cy="1038225"/>
        </a:xfrm>
        <a:prstGeom prst="flowChartDecision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</a:t>
          </a:r>
        </a:p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ADD</a:t>
          </a:r>
          <a:r>
            <a:rPr lang="en-IN" sz="1100" b="1" baseline="0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 ROW </a:t>
          </a:r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=  TRUE</a:t>
          </a:r>
          <a:endParaRPr lang="en-IN" sz="1100"/>
        </a:p>
      </xdr:txBody>
    </xdr:sp>
    <xdr:clientData/>
  </xdr:twoCellAnchor>
  <xdr:twoCellAnchor>
    <xdr:from>
      <xdr:col>100</xdr:col>
      <xdr:colOff>555256</xdr:colOff>
      <xdr:row>118</xdr:row>
      <xdr:rowOff>4329</xdr:rowOff>
    </xdr:from>
    <xdr:to>
      <xdr:col>103</xdr:col>
      <xdr:colOff>93573</xdr:colOff>
      <xdr:row>120</xdr:row>
      <xdr:rowOff>23379</xdr:rowOff>
    </xdr:to>
    <xdr:sp macro="" textlink="">
      <xdr:nvSpPr>
        <xdr:cNvPr id="494" name="Rectangle 493"/>
        <xdr:cNvSpPr/>
      </xdr:nvSpPr>
      <xdr:spPr>
        <a:xfrm>
          <a:off x="61515256" y="22483329"/>
          <a:ext cx="1367117" cy="4000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ADD ROW </a:t>
          </a:r>
        </a:p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Y/N</a:t>
          </a:r>
        </a:p>
      </xdr:txBody>
    </xdr:sp>
    <xdr:clientData/>
  </xdr:twoCellAnchor>
  <xdr:twoCellAnchor>
    <xdr:from>
      <xdr:col>93</xdr:col>
      <xdr:colOff>141198</xdr:colOff>
      <xdr:row>115</xdr:row>
      <xdr:rowOff>71004</xdr:rowOff>
    </xdr:from>
    <xdr:to>
      <xdr:col>95</xdr:col>
      <xdr:colOff>298081</xdr:colOff>
      <xdr:row>117</xdr:row>
      <xdr:rowOff>90054</xdr:rowOff>
    </xdr:to>
    <xdr:sp macro="" textlink="">
      <xdr:nvSpPr>
        <xdr:cNvPr id="495" name="Rectangle 494"/>
        <xdr:cNvSpPr/>
      </xdr:nvSpPr>
      <xdr:spPr>
        <a:xfrm>
          <a:off x="56833998" y="21978504"/>
          <a:ext cx="1376083" cy="4000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EDIT MAT DATA</a:t>
          </a:r>
        </a:p>
      </xdr:txBody>
    </xdr:sp>
    <xdr:clientData/>
  </xdr:twoCellAnchor>
  <xdr:twoCellAnchor>
    <xdr:from>
      <xdr:col>91</xdr:col>
      <xdr:colOff>285751</xdr:colOff>
      <xdr:row>127</xdr:row>
      <xdr:rowOff>13854</xdr:rowOff>
    </xdr:from>
    <xdr:to>
      <xdr:col>96</xdr:col>
      <xdr:colOff>1</xdr:colOff>
      <xdr:row>139</xdr:row>
      <xdr:rowOff>109104</xdr:rowOff>
    </xdr:to>
    <xdr:sp macro="" textlink="">
      <xdr:nvSpPr>
        <xdr:cNvPr id="496" name="Rectangle 495"/>
        <xdr:cNvSpPr/>
      </xdr:nvSpPr>
      <xdr:spPr>
        <a:xfrm>
          <a:off x="55759351" y="24207354"/>
          <a:ext cx="2762250" cy="238125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92</xdr:col>
      <xdr:colOff>552450</xdr:colOff>
      <xdr:row>128</xdr:row>
      <xdr:rowOff>109104</xdr:rowOff>
    </xdr:from>
    <xdr:to>
      <xdr:col>95</xdr:col>
      <xdr:colOff>47626</xdr:colOff>
      <xdr:row>129</xdr:row>
      <xdr:rowOff>99579</xdr:rowOff>
    </xdr:to>
    <xdr:sp macro="" textlink="">
      <xdr:nvSpPr>
        <xdr:cNvPr id="497" name="TextBox 496"/>
        <xdr:cNvSpPr txBox="1"/>
      </xdr:nvSpPr>
      <xdr:spPr>
        <a:xfrm>
          <a:off x="56635650" y="24493104"/>
          <a:ext cx="1323976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r>
            <a:rPr lang="en-IN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EQUIPMENT</a:t>
          </a:r>
        </a:p>
      </xdr:txBody>
    </xdr:sp>
    <xdr:clientData/>
  </xdr:twoCellAnchor>
  <xdr:twoCellAnchor>
    <xdr:from>
      <xdr:col>91</xdr:col>
      <xdr:colOff>352425</xdr:colOff>
      <xdr:row>130</xdr:row>
      <xdr:rowOff>147204</xdr:rowOff>
    </xdr:from>
    <xdr:to>
      <xdr:col>92</xdr:col>
      <xdr:colOff>552450</xdr:colOff>
      <xdr:row>131</xdr:row>
      <xdr:rowOff>156730</xdr:rowOff>
    </xdr:to>
    <xdr:sp macro="" textlink="">
      <xdr:nvSpPr>
        <xdr:cNvPr id="498" name="TextBox 497"/>
        <xdr:cNvSpPr txBox="1"/>
      </xdr:nvSpPr>
      <xdr:spPr>
        <a:xfrm>
          <a:off x="55826025" y="24912204"/>
          <a:ext cx="809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STATIC</a:t>
          </a:r>
        </a:p>
      </xdr:txBody>
    </xdr:sp>
    <xdr:clientData/>
  </xdr:twoCellAnchor>
  <xdr:twoCellAnchor>
    <xdr:from>
      <xdr:col>91</xdr:col>
      <xdr:colOff>466725</xdr:colOff>
      <xdr:row>132</xdr:row>
      <xdr:rowOff>71003</xdr:rowOff>
    </xdr:from>
    <xdr:to>
      <xdr:col>92</xdr:col>
      <xdr:colOff>504825</xdr:colOff>
      <xdr:row>133</xdr:row>
      <xdr:rowOff>137678</xdr:rowOff>
    </xdr:to>
    <xdr:sp macro="" textlink="">
      <xdr:nvSpPr>
        <xdr:cNvPr id="499" name="Rectangle 498"/>
        <xdr:cNvSpPr/>
      </xdr:nvSpPr>
      <xdr:spPr>
        <a:xfrm>
          <a:off x="55940325" y="25217003"/>
          <a:ext cx="6477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QOT DT</a:t>
          </a:r>
        </a:p>
      </xdr:txBody>
    </xdr:sp>
    <xdr:clientData/>
  </xdr:twoCellAnchor>
  <xdr:twoCellAnchor>
    <xdr:from>
      <xdr:col>93</xdr:col>
      <xdr:colOff>581025</xdr:colOff>
      <xdr:row>130</xdr:row>
      <xdr:rowOff>147204</xdr:rowOff>
    </xdr:from>
    <xdr:to>
      <xdr:col>95</xdr:col>
      <xdr:colOff>171450</xdr:colOff>
      <xdr:row>131</xdr:row>
      <xdr:rowOff>156730</xdr:rowOff>
    </xdr:to>
    <xdr:sp macro="" textlink="">
      <xdr:nvSpPr>
        <xdr:cNvPr id="500" name="TextBox 499"/>
        <xdr:cNvSpPr txBox="1"/>
      </xdr:nvSpPr>
      <xdr:spPr>
        <a:xfrm>
          <a:off x="57273825" y="24912204"/>
          <a:ext cx="809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ROTARY</a:t>
          </a:r>
        </a:p>
      </xdr:txBody>
    </xdr:sp>
    <xdr:clientData/>
  </xdr:twoCellAnchor>
  <xdr:twoCellAnchor>
    <xdr:from>
      <xdr:col>94</xdr:col>
      <xdr:colOff>85725</xdr:colOff>
      <xdr:row>132</xdr:row>
      <xdr:rowOff>71003</xdr:rowOff>
    </xdr:from>
    <xdr:to>
      <xdr:col>95</xdr:col>
      <xdr:colOff>104775</xdr:colOff>
      <xdr:row>133</xdr:row>
      <xdr:rowOff>137678</xdr:rowOff>
    </xdr:to>
    <xdr:sp macro="" textlink="">
      <xdr:nvSpPr>
        <xdr:cNvPr id="501" name="Rectangle 500"/>
        <xdr:cNvSpPr/>
      </xdr:nvSpPr>
      <xdr:spPr>
        <a:xfrm>
          <a:off x="57388125" y="25217003"/>
          <a:ext cx="62865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QOT DT</a:t>
          </a:r>
        </a:p>
      </xdr:txBody>
    </xdr:sp>
    <xdr:clientData/>
  </xdr:twoCellAnchor>
  <xdr:twoCellAnchor>
    <xdr:from>
      <xdr:col>91</xdr:col>
      <xdr:colOff>466725</xdr:colOff>
      <xdr:row>135</xdr:row>
      <xdr:rowOff>13853</xdr:rowOff>
    </xdr:from>
    <xdr:to>
      <xdr:col>92</xdr:col>
      <xdr:colOff>504825</xdr:colOff>
      <xdr:row>136</xdr:row>
      <xdr:rowOff>80528</xdr:rowOff>
    </xdr:to>
    <xdr:sp macro="" textlink="">
      <xdr:nvSpPr>
        <xdr:cNvPr id="502" name="Rectangle 501"/>
        <xdr:cNvSpPr/>
      </xdr:nvSpPr>
      <xdr:spPr>
        <a:xfrm>
          <a:off x="55940325" y="25731353"/>
          <a:ext cx="64770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COST</a:t>
          </a:r>
        </a:p>
      </xdr:txBody>
    </xdr:sp>
    <xdr:clientData/>
  </xdr:twoCellAnchor>
  <xdr:twoCellAnchor>
    <xdr:from>
      <xdr:col>94</xdr:col>
      <xdr:colOff>85725</xdr:colOff>
      <xdr:row>135</xdr:row>
      <xdr:rowOff>13853</xdr:rowOff>
    </xdr:from>
    <xdr:to>
      <xdr:col>95</xdr:col>
      <xdr:colOff>104775</xdr:colOff>
      <xdr:row>136</xdr:row>
      <xdr:rowOff>80528</xdr:rowOff>
    </xdr:to>
    <xdr:sp macro="" textlink="">
      <xdr:nvSpPr>
        <xdr:cNvPr id="503" name="Rectangle 502"/>
        <xdr:cNvSpPr/>
      </xdr:nvSpPr>
      <xdr:spPr>
        <a:xfrm>
          <a:off x="57388125" y="25731353"/>
          <a:ext cx="628650" cy="2571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>
              <a:solidFill>
                <a:sysClr val="windowText" lastClr="000000"/>
              </a:solidFill>
            </a:rPr>
            <a:t>COST</a:t>
          </a:r>
        </a:p>
      </xdr:txBody>
    </xdr:sp>
    <xdr:clientData/>
  </xdr:twoCellAnchor>
  <xdr:twoCellAnchor>
    <xdr:from>
      <xdr:col>90</xdr:col>
      <xdr:colOff>466725</xdr:colOff>
      <xdr:row>144</xdr:row>
      <xdr:rowOff>185303</xdr:rowOff>
    </xdr:from>
    <xdr:to>
      <xdr:col>96</xdr:col>
      <xdr:colOff>457200</xdr:colOff>
      <xdr:row>150</xdr:row>
      <xdr:rowOff>80528</xdr:rowOff>
    </xdr:to>
    <xdr:sp macro="" textlink="">
      <xdr:nvSpPr>
        <xdr:cNvPr id="504" name="Rectangle 503"/>
        <xdr:cNvSpPr/>
      </xdr:nvSpPr>
      <xdr:spPr>
        <a:xfrm>
          <a:off x="55330725" y="27617303"/>
          <a:ext cx="3648075" cy="103822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91</xdr:col>
      <xdr:colOff>85725</xdr:colOff>
      <xdr:row>147</xdr:row>
      <xdr:rowOff>4328</xdr:rowOff>
    </xdr:from>
    <xdr:to>
      <xdr:col>91</xdr:col>
      <xdr:colOff>257174</xdr:colOff>
      <xdr:row>147</xdr:row>
      <xdr:rowOff>166253</xdr:rowOff>
    </xdr:to>
    <xdr:sp macro="" textlink="">
      <xdr:nvSpPr>
        <xdr:cNvPr id="505" name="Flowchart: Connector 504"/>
        <xdr:cNvSpPr/>
      </xdr:nvSpPr>
      <xdr:spPr>
        <a:xfrm>
          <a:off x="55559325" y="28007828"/>
          <a:ext cx="171449" cy="161925"/>
        </a:xfrm>
        <a:prstGeom prst="flowChartConnector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91</xdr:col>
      <xdr:colOff>295275</xdr:colOff>
      <xdr:row>146</xdr:row>
      <xdr:rowOff>156729</xdr:rowOff>
    </xdr:from>
    <xdr:to>
      <xdr:col>93</xdr:col>
      <xdr:colOff>190500</xdr:colOff>
      <xdr:row>147</xdr:row>
      <xdr:rowOff>185305</xdr:rowOff>
    </xdr:to>
    <xdr:sp macro="" textlink="">
      <xdr:nvSpPr>
        <xdr:cNvPr id="506" name="TextBox 505"/>
        <xdr:cNvSpPr txBox="1"/>
      </xdr:nvSpPr>
      <xdr:spPr>
        <a:xfrm>
          <a:off x="55768875" y="27969729"/>
          <a:ext cx="1114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INCOMPLETE</a:t>
          </a:r>
        </a:p>
      </xdr:txBody>
    </xdr:sp>
    <xdr:clientData/>
  </xdr:twoCellAnchor>
  <xdr:twoCellAnchor>
    <xdr:from>
      <xdr:col>93</xdr:col>
      <xdr:colOff>552450</xdr:colOff>
      <xdr:row>147</xdr:row>
      <xdr:rowOff>4328</xdr:rowOff>
    </xdr:from>
    <xdr:to>
      <xdr:col>94</xdr:col>
      <xdr:colOff>114299</xdr:colOff>
      <xdr:row>147</xdr:row>
      <xdr:rowOff>166253</xdr:rowOff>
    </xdr:to>
    <xdr:sp macro="" textlink="">
      <xdr:nvSpPr>
        <xdr:cNvPr id="507" name="Flowchart: Connector 506"/>
        <xdr:cNvSpPr/>
      </xdr:nvSpPr>
      <xdr:spPr>
        <a:xfrm>
          <a:off x="57245250" y="28007828"/>
          <a:ext cx="171449" cy="161925"/>
        </a:xfrm>
        <a:prstGeom prst="flowChartConnector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94</xdr:col>
      <xdr:colOff>152400</xdr:colOff>
      <xdr:row>146</xdr:row>
      <xdr:rowOff>156729</xdr:rowOff>
    </xdr:from>
    <xdr:to>
      <xdr:col>96</xdr:col>
      <xdr:colOff>47625</xdr:colOff>
      <xdr:row>147</xdr:row>
      <xdr:rowOff>185305</xdr:rowOff>
    </xdr:to>
    <xdr:sp macro="" textlink="">
      <xdr:nvSpPr>
        <xdr:cNvPr id="508" name="TextBox 507"/>
        <xdr:cNvSpPr txBox="1"/>
      </xdr:nvSpPr>
      <xdr:spPr>
        <a:xfrm>
          <a:off x="57454800" y="27969729"/>
          <a:ext cx="1114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tx1"/>
              </a:solidFill>
              <a:effectLst/>
            </a:rPr>
            <a:t>COMPLETE</a:t>
          </a:r>
        </a:p>
      </xdr:txBody>
    </xdr:sp>
    <xdr:clientData/>
  </xdr:twoCellAnchor>
  <xdr:twoCellAnchor>
    <xdr:from>
      <xdr:col>95</xdr:col>
      <xdr:colOff>381000</xdr:colOff>
      <xdr:row>148</xdr:row>
      <xdr:rowOff>118629</xdr:rowOff>
    </xdr:from>
    <xdr:to>
      <xdr:col>96</xdr:col>
      <xdr:colOff>304800</xdr:colOff>
      <xdr:row>149</xdr:row>
      <xdr:rowOff>156728</xdr:rowOff>
    </xdr:to>
    <xdr:sp macro="" textlink="">
      <xdr:nvSpPr>
        <xdr:cNvPr id="509" name="Rectangle 508"/>
        <xdr:cNvSpPr/>
      </xdr:nvSpPr>
      <xdr:spPr>
        <a:xfrm>
          <a:off x="58293000" y="28312629"/>
          <a:ext cx="533400" cy="22859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92</xdr:col>
      <xdr:colOff>142875</xdr:colOff>
      <xdr:row>160</xdr:row>
      <xdr:rowOff>118629</xdr:rowOff>
    </xdr:from>
    <xdr:to>
      <xdr:col>95</xdr:col>
      <xdr:colOff>114300</xdr:colOff>
      <xdr:row>168</xdr:row>
      <xdr:rowOff>109104</xdr:rowOff>
    </xdr:to>
    <xdr:sp macro="" textlink="">
      <xdr:nvSpPr>
        <xdr:cNvPr id="510" name="Flowchart: Decision 509"/>
        <xdr:cNvSpPr/>
      </xdr:nvSpPr>
      <xdr:spPr>
        <a:xfrm>
          <a:off x="56226075" y="29455629"/>
          <a:ext cx="1800225" cy="1514475"/>
        </a:xfrm>
        <a:prstGeom prst="flowChartDecision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</a:t>
          </a:r>
        </a:p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TICK= "COMPLETE" </a:t>
          </a:r>
          <a:endParaRPr lang="en-IN" sz="1100"/>
        </a:p>
      </xdr:txBody>
    </xdr:sp>
    <xdr:clientData/>
  </xdr:twoCellAnchor>
  <xdr:twoCellAnchor>
    <xdr:from>
      <xdr:col>92</xdr:col>
      <xdr:colOff>342901</xdr:colOff>
      <xdr:row>169</xdr:row>
      <xdr:rowOff>166253</xdr:rowOff>
    </xdr:from>
    <xdr:to>
      <xdr:col>94</xdr:col>
      <xdr:colOff>428625</xdr:colOff>
      <xdr:row>171</xdr:row>
      <xdr:rowOff>147202</xdr:rowOff>
    </xdr:to>
    <xdr:sp macro="" textlink="">
      <xdr:nvSpPr>
        <xdr:cNvPr id="511" name="Rectangle 510"/>
        <xdr:cNvSpPr/>
      </xdr:nvSpPr>
      <xdr:spPr>
        <a:xfrm>
          <a:off x="56426101" y="31217753"/>
          <a:ext cx="1304924" cy="36194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1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LOCK CE SHEET</a:t>
          </a:r>
        </a:p>
      </xdr:txBody>
    </xdr:sp>
    <xdr:clientData/>
  </xdr:twoCellAnchor>
  <xdr:twoCellAnchor>
    <xdr:from>
      <xdr:col>96</xdr:col>
      <xdr:colOff>390526</xdr:colOff>
      <xdr:row>163</xdr:row>
      <xdr:rowOff>109103</xdr:rowOff>
    </xdr:from>
    <xdr:to>
      <xdr:col>98</xdr:col>
      <xdr:colOff>476250</xdr:colOff>
      <xdr:row>165</xdr:row>
      <xdr:rowOff>90052</xdr:rowOff>
    </xdr:to>
    <xdr:sp macro="" textlink="">
      <xdr:nvSpPr>
        <xdr:cNvPr id="512" name="Rectangle 511"/>
        <xdr:cNvSpPr/>
      </xdr:nvSpPr>
      <xdr:spPr>
        <a:xfrm>
          <a:off x="58912126" y="30017603"/>
          <a:ext cx="1304924" cy="36194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100" b="1" cap="none" spc="0">
              <a:ln w="11430"/>
              <a:solidFill>
                <a:sysClr val="windowText" lastClr="000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UN LOCK CE SHEET</a:t>
          </a:r>
        </a:p>
      </xdr:txBody>
    </xdr:sp>
    <xdr:clientData/>
  </xdr:twoCellAnchor>
  <xdr:twoCellAnchor>
    <xdr:from>
      <xdr:col>102</xdr:col>
      <xdr:colOff>118557</xdr:colOff>
      <xdr:row>76</xdr:row>
      <xdr:rowOff>150667</xdr:rowOff>
    </xdr:from>
    <xdr:to>
      <xdr:col>106</xdr:col>
      <xdr:colOff>551048</xdr:colOff>
      <xdr:row>80</xdr:row>
      <xdr:rowOff>128335</xdr:rowOff>
    </xdr:to>
    <xdr:sp macro="" textlink="">
      <xdr:nvSpPr>
        <xdr:cNvPr id="513" name="Rectangle 512"/>
        <xdr:cNvSpPr/>
      </xdr:nvSpPr>
      <xdr:spPr>
        <a:xfrm>
          <a:off x="62297757" y="14628667"/>
          <a:ext cx="2870891" cy="73966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95</xdr:col>
      <xdr:colOff>265339</xdr:colOff>
      <xdr:row>64</xdr:row>
      <xdr:rowOff>4328</xdr:rowOff>
    </xdr:from>
    <xdr:to>
      <xdr:col>96</xdr:col>
      <xdr:colOff>319768</xdr:colOff>
      <xdr:row>66</xdr:row>
      <xdr:rowOff>13853</xdr:rowOff>
    </xdr:to>
    <xdr:sp macro="" textlink="">
      <xdr:nvSpPr>
        <xdr:cNvPr id="514" name="Rectangle 513"/>
        <xdr:cNvSpPr/>
      </xdr:nvSpPr>
      <xdr:spPr>
        <a:xfrm>
          <a:off x="58177339" y="12196328"/>
          <a:ext cx="664029" cy="3905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105</xdr:col>
      <xdr:colOff>441170</xdr:colOff>
      <xdr:row>79</xdr:row>
      <xdr:rowOff>46241</xdr:rowOff>
    </xdr:from>
    <xdr:to>
      <xdr:col>106</xdr:col>
      <xdr:colOff>414515</xdr:colOff>
      <xdr:row>80</xdr:row>
      <xdr:rowOff>90105</xdr:rowOff>
    </xdr:to>
    <xdr:sp macro="" textlink="">
      <xdr:nvSpPr>
        <xdr:cNvPr id="515" name="Rectangle 514"/>
        <xdr:cNvSpPr/>
      </xdr:nvSpPr>
      <xdr:spPr>
        <a:xfrm>
          <a:off x="64449170" y="15095741"/>
          <a:ext cx="582945" cy="234364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IN" sz="1600" b="1" cap="none" spc="0">
              <a:ln w="11430"/>
              <a:solidFill>
                <a:srgbClr val="00206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OK</a:t>
          </a:r>
        </a:p>
      </xdr:txBody>
    </xdr:sp>
    <xdr:clientData/>
  </xdr:twoCellAnchor>
  <xdr:twoCellAnchor>
    <xdr:from>
      <xdr:col>104</xdr:col>
      <xdr:colOff>27432</xdr:colOff>
      <xdr:row>78</xdr:row>
      <xdr:rowOff>97068</xdr:rowOff>
    </xdr:from>
    <xdr:to>
      <xdr:col>104</xdr:col>
      <xdr:colOff>517690</xdr:colOff>
      <xdr:row>79</xdr:row>
      <xdr:rowOff>97068</xdr:rowOff>
    </xdr:to>
    <xdr:sp macro="" textlink="">
      <xdr:nvSpPr>
        <xdr:cNvPr id="516" name="Rectangle 515"/>
        <xdr:cNvSpPr/>
      </xdr:nvSpPr>
      <xdr:spPr>
        <a:xfrm>
          <a:off x="63425832" y="14956068"/>
          <a:ext cx="490258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oneCellAnchor>
    <xdr:from>
      <xdr:col>104</xdr:col>
      <xdr:colOff>3339</xdr:colOff>
      <xdr:row>77</xdr:row>
      <xdr:rowOff>18306</xdr:rowOff>
    </xdr:from>
    <xdr:ext cx="485261" cy="264560"/>
    <xdr:sp macro="" textlink="">
      <xdr:nvSpPr>
        <xdr:cNvPr id="517" name="TextBox 516"/>
        <xdr:cNvSpPr txBox="1"/>
      </xdr:nvSpPr>
      <xdr:spPr>
        <a:xfrm>
          <a:off x="63401739" y="14686806"/>
          <a:ext cx="4852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P-NO</a:t>
          </a:r>
        </a:p>
      </xdr:txBody>
    </xdr:sp>
    <xdr:clientData/>
  </xdr:oneCellAnchor>
  <xdr:twoCellAnchor>
    <xdr:from>
      <xdr:col>93</xdr:col>
      <xdr:colOff>609597</xdr:colOff>
      <xdr:row>10</xdr:row>
      <xdr:rowOff>61479</xdr:rowOff>
    </xdr:from>
    <xdr:to>
      <xdr:col>94</xdr:col>
      <xdr:colOff>19049</xdr:colOff>
      <xdr:row>56</xdr:row>
      <xdr:rowOff>42429</xdr:rowOff>
    </xdr:to>
    <xdr:cxnSp macro="">
      <xdr:nvCxnSpPr>
        <xdr:cNvPr id="518" name="Straight Arrow Connector 517"/>
        <xdr:cNvCxnSpPr>
          <a:endCxn id="444" idx="0"/>
        </xdr:cNvCxnSpPr>
      </xdr:nvCxnSpPr>
      <xdr:spPr>
        <a:xfrm rot="16200000" flipH="1">
          <a:off x="52939948" y="6328928"/>
          <a:ext cx="8743950" cy="19052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433668</xdr:colOff>
      <xdr:row>66</xdr:row>
      <xdr:rowOff>70447</xdr:rowOff>
    </xdr:from>
    <xdr:to>
      <xdr:col>93</xdr:col>
      <xdr:colOff>441516</xdr:colOff>
      <xdr:row>69</xdr:row>
      <xdr:rowOff>105182</xdr:rowOff>
    </xdr:to>
    <xdr:cxnSp macro="">
      <xdr:nvCxnSpPr>
        <xdr:cNvPr id="519" name="Straight Arrow Connector 518"/>
        <xdr:cNvCxnSpPr/>
      </xdr:nvCxnSpPr>
      <xdr:spPr>
        <a:xfrm rot="5400000">
          <a:off x="56827274" y="12942641"/>
          <a:ext cx="606235" cy="7848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524435</xdr:colOff>
      <xdr:row>72</xdr:row>
      <xdr:rowOff>63722</xdr:rowOff>
    </xdr:from>
    <xdr:to>
      <xdr:col>91</xdr:col>
      <xdr:colOff>530038</xdr:colOff>
      <xdr:row>76</xdr:row>
      <xdr:rowOff>111905</xdr:rowOff>
    </xdr:to>
    <xdr:cxnSp macro="">
      <xdr:nvCxnSpPr>
        <xdr:cNvPr id="520" name="Straight Arrow Connector 519"/>
        <xdr:cNvCxnSpPr/>
      </xdr:nvCxnSpPr>
      <xdr:spPr>
        <a:xfrm rot="16200000" flipH="1">
          <a:off x="55595745" y="14182012"/>
          <a:ext cx="810183" cy="5603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503144</xdr:colOff>
      <xdr:row>72</xdr:row>
      <xdr:rowOff>41311</xdr:rowOff>
    </xdr:from>
    <xdr:to>
      <xdr:col>95</xdr:col>
      <xdr:colOff>513230</xdr:colOff>
      <xdr:row>76</xdr:row>
      <xdr:rowOff>96219</xdr:rowOff>
    </xdr:to>
    <xdr:cxnSp macro="">
      <xdr:nvCxnSpPr>
        <xdr:cNvPr id="521" name="Straight Arrow Connector 520"/>
        <xdr:cNvCxnSpPr/>
      </xdr:nvCxnSpPr>
      <xdr:spPr>
        <a:xfrm rot="5400000">
          <a:off x="58011733" y="14160722"/>
          <a:ext cx="816908" cy="10086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513229</xdr:colOff>
      <xdr:row>72</xdr:row>
      <xdr:rowOff>47192</xdr:rowOff>
    </xdr:from>
    <xdr:to>
      <xdr:col>92</xdr:col>
      <xdr:colOff>266700</xdr:colOff>
      <xdr:row>72</xdr:row>
      <xdr:rowOff>52514</xdr:rowOff>
    </xdr:to>
    <xdr:cxnSp macro="">
      <xdr:nvCxnSpPr>
        <xdr:cNvPr id="522" name="Straight Connector 521"/>
        <xdr:cNvCxnSpPr>
          <a:stCxn id="456" idx="1"/>
        </xdr:cNvCxnSpPr>
      </xdr:nvCxnSpPr>
      <xdr:spPr>
        <a:xfrm rot="10800000" flipV="1">
          <a:off x="55986829" y="13763192"/>
          <a:ext cx="363071" cy="532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553571</xdr:colOff>
      <xdr:row>72</xdr:row>
      <xdr:rowOff>41308</xdr:rowOff>
    </xdr:from>
    <xdr:to>
      <xdr:col>95</xdr:col>
      <xdr:colOff>513231</xdr:colOff>
      <xdr:row>72</xdr:row>
      <xdr:rowOff>48030</xdr:rowOff>
    </xdr:to>
    <xdr:cxnSp macro="">
      <xdr:nvCxnSpPr>
        <xdr:cNvPr id="523" name="Straight Connector 522"/>
        <xdr:cNvCxnSpPr/>
      </xdr:nvCxnSpPr>
      <xdr:spPr>
        <a:xfrm rot="10800000" flipV="1">
          <a:off x="57855971" y="13757308"/>
          <a:ext cx="569260" cy="672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193020</xdr:colOff>
      <xdr:row>80</xdr:row>
      <xdr:rowOff>185304</xdr:rowOff>
    </xdr:from>
    <xdr:to>
      <xdr:col>92</xdr:col>
      <xdr:colOff>194982</xdr:colOff>
      <xdr:row>84</xdr:row>
      <xdr:rowOff>97338</xdr:rowOff>
    </xdr:to>
    <xdr:cxnSp macro="">
      <xdr:nvCxnSpPr>
        <xdr:cNvPr id="524" name="Straight Connector 523"/>
        <xdr:cNvCxnSpPr>
          <a:stCxn id="457" idx="2"/>
        </xdr:cNvCxnSpPr>
      </xdr:nvCxnSpPr>
      <xdr:spPr>
        <a:xfrm rot="16200000" flipH="1">
          <a:off x="55940184" y="15761340"/>
          <a:ext cx="674034" cy="196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484374</xdr:colOff>
      <xdr:row>81</xdr:row>
      <xdr:rowOff>23940</xdr:rowOff>
    </xdr:from>
    <xdr:to>
      <xdr:col>95</xdr:col>
      <xdr:colOff>486336</xdr:colOff>
      <xdr:row>84</xdr:row>
      <xdr:rowOff>126474</xdr:rowOff>
    </xdr:to>
    <xdr:cxnSp macro="">
      <xdr:nvCxnSpPr>
        <xdr:cNvPr id="525" name="Straight Connector 524"/>
        <xdr:cNvCxnSpPr/>
      </xdr:nvCxnSpPr>
      <xdr:spPr>
        <a:xfrm rot="16200000" flipH="1">
          <a:off x="58060338" y="15790476"/>
          <a:ext cx="674034" cy="196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194982</xdr:colOff>
      <xdr:row>84</xdr:row>
      <xdr:rowOff>97338</xdr:rowOff>
    </xdr:from>
    <xdr:to>
      <xdr:col>95</xdr:col>
      <xdr:colOff>513230</xdr:colOff>
      <xdr:row>84</xdr:row>
      <xdr:rowOff>98926</xdr:rowOff>
    </xdr:to>
    <xdr:cxnSp macro="">
      <xdr:nvCxnSpPr>
        <xdr:cNvPr id="526" name="Straight Connector 525"/>
        <xdr:cNvCxnSpPr/>
      </xdr:nvCxnSpPr>
      <xdr:spPr>
        <a:xfrm rot="10800000">
          <a:off x="56278182" y="16099338"/>
          <a:ext cx="2147048" cy="158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32497</xdr:colOff>
      <xdr:row>84</xdr:row>
      <xdr:rowOff>97342</xdr:rowOff>
    </xdr:from>
    <xdr:to>
      <xdr:col>94</xdr:col>
      <xdr:colOff>38100</xdr:colOff>
      <xdr:row>87</xdr:row>
      <xdr:rowOff>33466</xdr:rowOff>
    </xdr:to>
    <xdr:cxnSp macro="">
      <xdr:nvCxnSpPr>
        <xdr:cNvPr id="527" name="Straight Arrow Connector 526"/>
        <xdr:cNvCxnSpPr/>
      </xdr:nvCxnSpPr>
      <xdr:spPr>
        <a:xfrm rot="5400000">
          <a:off x="57083887" y="16350352"/>
          <a:ext cx="507624" cy="5603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134088</xdr:colOff>
      <xdr:row>102</xdr:row>
      <xdr:rowOff>66612</xdr:rowOff>
    </xdr:from>
    <xdr:to>
      <xdr:col>94</xdr:col>
      <xdr:colOff>142876</xdr:colOff>
      <xdr:row>106</xdr:row>
      <xdr:rowOff>125223</xdr:rowOff>
    </xdr:to>
    <xdr:cxnSp macro="">
      <xdr:nvCxnSpPr>
        <xdr:cNvPr id="528" name="Straight Arrow Connector 527"/>
        <xdr:cNvCxnSpPr/>
      </xdr:nvCxnSpPr>
      <xdr:spPr>
        <a:xfrm rot="16200000" flipH="1">
          <a:off x="57030576" y="19903524"/>
          <a:ext cx="820611" cy="8788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345144</xdr:colOff>
      <xdr:row>113</xdr:row>
      <xdr:rowOff>97338</xdr:rowOff>
    </xdr:from>
    <xdr:to>
      <xdr:col>97</xdr:col>
      <xdr:colOff>217394</xdr:colOff>
      <xdr:row>113</xdr:row>
      <xdr:rowOff>97340</xdr:rowOff>
    </xdr:to>
    <xdr:cxnSp macro="">
      <xdr:nvCxnSpPr>
        <xdr:cNvPr id="529" name="Straight Arrow Connector 528"/>
        <xdr:cNvCxnSpPr/>
      </xdr:nvCxnSpPr>
      <xdr:spPr>
        <a:xfrm flipV="1">
          <a:off x="58257144" y="21623838"/>
          <a:ext cx="1091450" cy="2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237007</xdr:colOff>
      <xdr:row>113</xdr:row>
      <xdr:rowOff>78288</xdr:rowOff>
    </xdr:from>
    <xdr:to>
      <xdr:col>93</xdr:col>
      <xdr:colOff>109257</xdr:colOff>
      <xdr:row>113</xdr:row>
      <xdr:rowOff>78290</xdr:rowOff>
    </xdr:to>
    <xdr:cxnSp macro="">
      <xdr:nvCxnSpPr>
        <xdr:cNvPr id="530" name="Straight Arrow Connector 529"/>
        <xdr:cNvCxnSpPr/>
      </xdr:nvCxnSpPr>
      <xdr:spPr>
        <a:xfrm flipV="1">
          <a:off x="55710607" y="21604788"/>
          <a:ext cx="1091450" cy="2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105</xdr:col>
      <xdr:colOff>67468</xdr:colOff>
      <xdr:row>115</xdr:row>
      <xdr:rowOff>176573</xdr:rowOff>
    </xdr:from>
    <xdr:to>
      <xdr:col>105</xdr:col>
      <xdr:colOff>76199</xdr:colOff>
      <xdr:row>119</xdr:row>
      <xdr:rowOff>42429</xdr:rowOff>
    </xdr:to>
    <xdr:cxnSp macro="">
      <xdr:nvCxnSpPr>
        <xdr:cNvPr id="531" name="Straight Connector 530"/>
        <xdr:cNvCxnSpPr/>
      </xdr:nvCxnSpPr>
      <xdr:spPr>
        <a:xfrm rot="16200000" flipH="1">
          <a:off x="63765906" y="22393635"/>
          <a:ext cx="627856" cy="873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276225</xdr:colOff>
      <xdr:row>124</xdr:row>
      <xdr:rowOff>13852</xdr:rowOff>
    </xdr:from>
    <xdr:to>
      <xdr:col>101</xdr:col>
      <xdr:colOff>3</xdr:colOff>
      <xdr:row>124</xdr:row>
      <xdr:rowOff>13854</xdr:rowOff>
    </xdr:to>
    <xdr:cxnSp macro="">
      <xdr:nvCxnSpPr>
        <xdr:cNvPr id="532" name="Straight Connector 531"/>
        <xdr:cNvCxnSpPr/>
      </xdr:nvCxnSpPr>
      <xdr:spPr>
        <a:xfrm rot="10800000" flipV="1">
          <a:off x="55749825" y="23635852"/>
          <a:ext cx="5819778" cy="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99736</xdr:colOff>
      <xdr:row>119</xdr:row>
      <xdr:rowOff>32903</xdr:rowOff>
    </xdr:from>
    <xdr:to>
      <xdr:col>105</xdr:col>
      <xdr:colOff>76200</xdr:colOff>
      <xdr:row>119</xdr:row>
      <xdr:rowOff>49714</xdr:rowOff>
    </xdr:to>
    <xdr:cxnSp macro="">
      <xdr:nvCxnSpPr>
        <xdr:cNvPr id="533" name="Straight Arrow Connector 532"/>
        <xdr:cNvCxnSpPr/>
      </xdr:nvCxnSpPr>
      <xdr:spPr>
        <a:xfrm rot="10800000" flipV="1">
          <a:off x="62888536" y="22702403"/>
          <a:ext cx="1195664" cy="16811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142877</xdr:colOff>
      <xdr:row>120</xdr:row>
      <xdr:rowOff>42433</xdr:rowOff>
    </xdr:from>
    <xdr:to>
      <xdr:col>102</xdr:col>
      <xdr:colOff>142878</xdr:colOff>
      <xdr:row>121</xdr:row>
      <xdr:rowOff>106175</xdr:rowOff>
    </xdr:to>
    <xdr:cxnSp macro="">
      <xdr:nvCxnSpPr>
        <xdr:cNvPr id="534" name="Straight Arrow Connector 533"/>
        <xdr:cNvCxnSpPr/>
      </xdr:nvCxnSpPr>
      <xdr:spPr>
        <a:xfrm rot="5400000">
          <a:off x="62194957" y="23029553"/>
          <a:ext cx="254242" cy="1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248443</xdr:colOff>
      <xdr:row>113</xdr:row>
      <xdr:rowOff>90849</xdr:rowOff>
    </xdr:from>
    <xdr:to>
      <xdr:col>91</xdr:col>
      <xdr:colOff>285753</xdr:colOff>
      <xdr:row>124</xdr:row>
      <xdr:rowOff>13857</xdr:rowOff>
    </xdr:to>
    <xdr:cxnSp macro="">
      <xdr:nvCxnSpPr>
        <xdr:cNvPr id="535" name="Straight Connector 534"/>
        <xdr:cNvCxnSpPr/>
      </xdr:nvCxnSpPr>
      <xdr:spPr>
        <a:xfrm rot="16200000" flipH="1">
          <a:off x="54731444" y="22607948"/>
          <a:ext cx="2018508" cy="3731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134144</xdr:colOff>
      <xdr:row>126</xdr:row>
      <xdr:rowOff>138474</xdr:rowOff>
    </xdr:from>
    <xdr:to>
      <xdr:col>102</xdr:col>
      <xdr:colOff>142875</xdr:colOff>
      <xdr:row>130</xdr:row>
      <xdr:rowOff>4330</xdr:rowOff>
    </xdr:to>
    <xdr:cxnSp macro="">
      <xdr:nvCxnSpPr>
        <xdr:cNvPr id="536" name="Straight Connector 535"/>
        <xdr:cNvCxnSpPr/>
      </xdr:nvCxnSpPr>
      <xdr:spPr>
        <a:xfrm rot="16200000" flipH="1">
          <a:off x="62003782" y="24451036"/>
          <a:ext cx="627856" cy="873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9526</xdr:colOff>
      <xdr:row>129</xdr:row>
      <xdr:rowOff>166253</xdr:rowOff>
    </xdr:from>
    <xdr:to>
      <xdr:col>102</xdr:col>
      <xdr:colOff>114301</xdr:colOff>
      <xdr:row>129</xdr:row>
      <xdr:rowOff>175779</xdr:rowOff>
    </xdr:to>
    <xdr:cxnSp macro="">
      <xdr:nvCxnSpPr>
        <xdr:cNvPr id="537" name="Straight Arrow Connector 536"/>
        <xdr:cNvCxnSpPr/>
      </xdr:nvCxnSpPr>
      <xdr:spPr>
        <a:xfrm rot="10800000" flipV="1">
          <a:off x="58531126" y="24740753"/>
          <a:ext cx="3762375" cy="9526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314325</xdr:colOff>
      <xdr:row>139</xdr:row>
      <xdr:rowOff>99585</xdr:rowOff>
    </xdr:from>
    <xdr:to>
      <xdr:col>93</xdr:col>
      <xdr:colOff>323854</xdr:colOff>
      <xdr:row>145</xdr:row>
      <xdr:rowOff>23383</xdr:rowOff>
    </xdr:to>
    <xdr:cxnSp macro="">
      <xdr:nvCxnSpPr>
        <xdr:cNvPr id="538" name="Straight Arrow Connector 537"/>
        <xdr:cNvCxnSpPr/>
      </xdr:nvCxnSpPr>
      <xdr:spPr>
        <a:xfrm rot="5400000">
          <a:off x="56478491" y="27107719"/>
          <a:ext cx="1066798" cy="9529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447677</xdr:colOff>
      <xdr:row>150</xdr:row>
      <xdr:rowOff>80528</xdr:rowOff>
    </xdr:from>
    <xdr:to>
      <xdr:col>93</xdr:col>
      <xdr:colOff>461964</xdr:colOff>
      <xdr:row>160</xdr:row>
      <xdr:rowOff>128159</xdr:rowOff>
    </xdr:to>
    <xdr:cxnSp macro="">
      <xdr:nvCxnSpPr>
        <xdr:cNvPr id="539" name="Straight Arrow Connector 538"/>
        <xdr:cNvCxnSpPr>
          <a:stCxn id="504" idx="2"/>
        </xdr:cNvCxnSpPr>
      </xdr:nvCxnSpPr>
      <xdr:spPr>
        <a:xfrm rot="5400000">
          <a:off x="56742805" y="29053200"/>
          <a:ext cx="809631" cy="14287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419103</xdr:colOff>
      <xdr:row>168</xdr:row>
      <xdr:rowOff>109105</xdr:rowOff>
    </xdr:from>
    <xdr:to>
      <xdr:col>93</xdr:col>
      <xdr:colOff>433388</xdr:colOff>
      <xdr:row>169</xdr:row>
      <xdr:rowOff>175785</xdr:rowOff>
    </xdr:to>
    <xdr:cxnSp macro="">
      <xdr:nvCxnSpPr>
        <xdr:cNvPr id="540" name="Straight Arrow Connector 539"/>
        <xdr:cNvCxnSpPr>
          <a:stCxn id="510" idx="2"/>
        </xdr:cNvCxnSpPr>
      </xdr:nvCxnSpPr>
      <xdr:spPr>
        <a:xfrm rot="5400000">
          <a:off x="56990456" y="31091552"/>
          <a:ext cx="257180" cy="14285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114300</xdr:colOff>
      <xdr:row>164</xdr:row>
      <xdr:rowOff>106863</xdr:rowOff>
    </xdr:from>
    <xdr:to>
      <xdr:col>96</xdr:col>
      <xdr:colOff>442632</xdr:colOff>
      <xdr:row>164</xdr:row>
      <xdr:rowOff>113867</xdr:rowOff>
    </xdr:to>
    <xdr:cxnSp macro="">
      <xdr:nvCxnSpPr>
        <xdr:cNvPr id="541" name="Straight Arrow Connector 540"/>
        <xdr:cNvCxnSpPr>
          <a:stCxn id="510" idx="3"/>
        </xdr:cNvCxnSpPr>
      </xdr:nvCxnSpPr>
      <xdr:spPr>
        <a:xfrm flipV="1">
          <a:off x="58026300" y="30205863"/>
          <a:ext cx="937932" cy="7004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478685</xdr:colOff>
      <xdr:row>165</xdr:row>
      <xdr:rowOff>98821</xdr:rowOff>
    </xdr:from>
    <xdr:to>
      <xdr:col>97</xdr:col>
      <xdr:colOff>479181</xdr:colOff>
      <xdr:row>176</xdr:row>
      <xdr:rowOff>168455</xdr:rowOff>
    </xdr:to>
    <xdr:cxnSp macro="">
      <xdr:nvCxnSpPr>
        <xdr:cNvPr id="542" name="Straight Connector 541"/>
        <xdr:cNvCxnSpPr/>
      </xdr:nvCxnSpPr>
      <xdr:spPr>
        <a:xfrm rot="16200000" flipH="1">
          <a:off x="58527566" y="31470640"/>
          <a:ext cx="2165134" cy="496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104</xdr:col>
      <xdr:colOff>237262</xdr:colOff>
      <xdr:row>19</xdr:row>
      <xdr:rowOff>137682</xdr:rowOff>
    </xdr:from>
    <xdr:to>
      <xdr:col>104</xdr:col>
      <xdr:colOff>266701</xdr:colOff>
      <xdr:row>76</xdr:row>
      <xdr:rowOff>104771</xdr:rowOff>
    </xdr:to>
    <xdr:cxnSp macro="">
      <xdr:nvCxnSpPr>
        <xdr:cNvPr id="543" name="Straight Arrow Connector 542"/>
        <xdr:cNvCxnSpPr/>
      </xdr:nvCxnSpPr>
      <xdr:spPr>
        <a:xfrm rot="5400000">
          <a:off x="58237587" y="9155257"/>
          <a:ext cx="10825589" cy="29439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514351</xdr:colOff>
      <xdr:row>78</xdr:row>
      <xdr:rowOff>139500</xdr:rowOff>
    </xdr:from>
    <xdr:to>
      <xdr:col>102</xdr:col>
      <xdr:colOff>118558</xdr:colOff>
      <xdr:row>78</xdr:row>
      <xdr:rowOff>151965</xdr:rowOff>
    </xdr:to>
    <xdr:cxnSp macro="">
      <xdr:nvCxnSpPr>
        <xdr:cNvPr id="544" name="Straight Arrow Connector 543"/>
        <xdr:cNvCxnSpPr>
          <a:stCxn id="513" idx="1"/>
          <a:endCxn id="458" idx="3"/>
        </xdr:cNvCxnSpPr>
      </xdr:nvCxnSpPr>
      <xdr:spPr>
        <a:xfrm rot="10800000" flipV="1">
          <a:off x="59035951" y="14998500"/>
          <a:ext cx="3261807" cy="12465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104</xdr:col>
      <xdr:colOff>304801</xdr:colOff>
      <xdr:row>19</xdr:row>
      <xdr:rowOff>126647</xdr:rowOff>
    </xdr:from>
    <xdr:to>
      <xdr:col>110</xdr:col>
      <xdr:colOff>482816</xdr:colOff>
      <xdr:row>19</xdr:row>
      <xdr:rowOff>137679</xdr:rowOff>
    </xdr:to>
    <xdr:cxnSp macro="">
      <xdr:nvCxnSpPr>
        <xdr:cNvPr id="545" name="Straight Connector 544"/>
        <xdr:cNvCxnSpPr/>
      </xdr:nvCxnSpPr>
      <xdr:spPr>
        <a:xfrm rot="10800000" flipV="1">
          <a:off x="63703201" y="3746147"/>
          <a:ext cx="3835615" cy="1103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0</xdr:colOff>
      <xdr:row>10</xdr:row>
      <xdr:rowOff>23380</xdr:rowOff>
    </xdr:from>
    <xdr:to>
      <xdr:col>110</xdr:col>
      <xdr:colOff>406614</xdr:colOff>
      <xdr:row>10</xdr:row>
      <xdr:rowOff>28917</xdr:rowOff>
    </xdr:to>
    <xdr:cxnSp macro="">
      <xdr:nvCxnSpPr>
        <xdr:cNvPr id="546" name="Straight Connector 545"/>
        <xdr:cNvCxnSpPr/>
      </xdr:nvCxnSpPr>
      <xdr:spPr>
        <a:xfrm rot="10800000">
          <a:off x="57302400" y="1928380"/>
          <a:ext cx="10160214" cy="553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31175</xdr:colOff>
      <xdr:row>31</xdr:row>
      <xdr:rowOff>58015</xdr:rowOff>
    </xdr:from>
    <xdr:to>
      <xdr:col>112</xdr:col>
      <xdr:colOff>57151</xdr:colOff>
      <xdr:row>44</xdr:row>
      <xdr:rowOff>61478</xdr:rowOff>
    </xdr:to>
    <xdr:cxnSp macro="">
      <xdr:nvCxnSpPr>
        <xdr:cNvPr id="547" name="Straight Arrow Connector 546"/>
        <xdr:cNvCxnSpPr>
          <a:endCxn id="549" idx="0"/>
        </xdr:cNvCxnSpPr>
      </xdr:nvCxnSpPr>
      <xdr:spPr>
        <a:xfrm rot="16200000" flipH="1">
          <a:off x="67079381" y="7190509"/>
          <a:ext cx="2479963" cy="25976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200024</xdr:colOff>
      <xdr:row>54</xdr:row>
      <xdr:rowOff>156296</xdr:rowOff>
    </xdr:from>
    <xdr:to>
      <xdr:col>123</xdr:col>
      <xdr:colOff>1465</xdr:colOff>
      <xdr:row>65</xdr:row>
      <xdr:rowOff>106506</xdr:rowOff>
    </xdr:to>
    <xdr:sp macro="" textlink="">
      <xdr:nvSpPr>
        <xdr:cNvPr id="548" name="Rectangle 547"/>
        <xdr:cNvSpPr/>
      </xdr:nvSpPr>
      <xdr:spPr>
        <a:xfrm>
          <a:off x="66646424" y="10443296"/>
          <a:ext cx="8335841" cy="204571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IN" sz="1100" b="1" cap="none" spc="0">
            <a:ln w="11430"/>
            <a:solidFill>
              <a:sysClr val="windowText" lastClr="000000"/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110</xdr:col>
      <xdr:colOff>76200</xdr:colOff>
      <xdr:row>44</xdr:row>
      <xdr:rowOff>61479</xdr:rowOff>
    </xdr:from>
    <xdr:to>
      <xdr:col>114</xdr:col>
      <xdr:colOff>38100</xdr:colOff>
      <xdr:row>47</xdr:row>
      <xdr:rowOff>175779</xdr:rowOff>
    </xdr:to>
    <xdr:sp macro="" textlink="">
      <xdr:nvSpPr>
        <xdr:cNvPr id="549" name="Flowchart: Stored Data 548"/>
        <xdr:cNvSpPr/>
      </xdr:nvSpPr>
      <xdr:spPr>
        <a:xfrm>
          <a:off x="67132200" y="8443479"/>
          <a:ext cx="2400300" cy="685800"/>
        </a:xfrm>
        <a:prstGeom prst="flowChartOnlineStorag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800" b="1" cap="none" spc="0" baseline="0">
              <a:ln w="11430">
                <a:solidFill>
                  <a:schemeClr val="accent5">
                    <a:lumMod val="75000"/>
                  </a:schemeClr>
                </a:solidFill>
              </a:ln>
              <a:solidFill>
                <a:schemeClr val="accent5">
                  <a:lumMod val="75000"/>
                </a:schemeClr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DATABASE</a:t>
          </a:r>
          <a:endParaRPr lang="en-IN" sz="1100" b="1" cap="none" spc="0">
            <a:ln w="11430">
              <a:solidFill>
                <a:schemeClr val="accent5">
                  <a:lumMod val="75000"/>
                </a:schemeClr>
              </a:solidFill>
            </a:ln>
            <a:solidFill>
              <a:schemeClr val="accent5">
                <a:lumMod val="75000"/>
              </a:schemeClr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108</xdr:col>
      <xdr:colOff>284018</xdr:colOff>
      <xdr:row>46</xdr:row>
      <xdr:rowOff>25900</xdr:rowOff>
    </xdr:from>
    <xdr:to>
      <xdr:col>110</xdr:col>
      <xdr:colOff>75920</xdr:colOff>
      <xdr:row>46</xdr:row>
      <xdr:rowOff>37234</xdr:rowOff>
    </xdr:to>
    <xdr:cxnSp macro="">
      <xdr:nvCxnSpPr>
        <xdr:cNvPr id="550" name="Straight Arrow Connector 549"/>
        <xdr:cNvCxnSpPr/>
      </xdr:nvCxnSpPr>
      <xdr:spPr>
        <a:xfrm flipV="1">
          <a:off x="66120818" y="8788900"/>
          <a:ext cx="1011102" cy="11334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268402</xdr:colOff>
      <xdr:row>46</xdr:row>
      <xdr:rowOff>51196</xdr:rowOff>
    </xdr:from>
    <xdr:to>
      <xdr:col>108</xdr:col>
      <xdr:colOff>314324</xdr:colOff>
      <xdr:row>177</xdr:row>
      <xdr:rowOff>9092</xdr:rowOff>
    </xdr:to>
    <xdr:cxnSp macro="">
      <xdr:nvCxnSpPr>
        <xdr:cNvPr id="551" name="Straight Connector 550"/>
        <xdr:cNvCxnSpPr/>
      </xdr:nvCxnSpPr>
      <xdr:spPr>
        <a:xfrm rot="16200000" flipH="1">
          <a:off x="54242965" y="20676433"/>
          <a:ext cx="23770396" cy="4592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377939</xdr:colOff>
      <xdr:row>171</xdr:row>
      <xdr:rowOff>170259</xdr:rowOff>
    </xdr:from>
    <xdr:to>
      <xdr:col>93</xdr:col>
      <xdr:colOff>385763</xdr:colOff>
      <xdr:row>176</xdr:row>
      <xdr:rowOff>175779</xdr:rowOff>
    </xdr:to>
    <xdr:cxnSp macro="">
      <xdr:nvCxnSpPr>
        <xdr:cNvPr id="552" name="Straight Connector 551"/>
        <xdr:cNvCxnSpPr/>
      </xdr:nvCxnSpPr>
      <xdr:spPr>
        <a:xfrm rot="16200000" flipH="1">
          <a:off x="56595641" y="32077857"/>
          <a:ext cx="958020" cy="782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361951</xdr:colOff>
      <xdr:row>177</xdr:row>
      <xdr:rowOff>13854</xdr:rowOff>
    </xdr:from>
    <xdr:to>
      <xdr:col>108</xdr:col>
      <xdr:colOff>361950</xdr:colOff>
      <xdr:row>177</xdr:row>
      <xdr:rowOff>32904</xdr:rowOff>
    </xdr:to>
    <xdr:cxnSp macro="">
      <xdr:nvCxnSpPr>
        <xdr:cNvPr id="553" name="Straight Connector 552"/>
        <xdr:cNvCxnSpPr/>
      </xdr:nvCxnSpPr>
      <xdr:spPr>
        <a:xfrm rot="10800000">
          <a:off x="57054751" y="32589354"/>
          <a:ext cx="9143999" cy="190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109</xdr:col>
      <xdr:colOff>322984</xdr:colOff>
      <xdr:row>56</xdr:row>
      <xdr:rowOff>127164</xdr:rowOff>
    </xdr:from>
    <xdr:ext cx="281872" cy="264560"/>
    <xdr:sp macro="" textlink="">
      <xdr:nvSpPr>
        <xdr:cNvPr id="554" name="TextBox 553"/>
        <xdr:cNvSpPr txBox="1"/>
      </xdr:nvSpPr>
      <xdr:spPr>
        <a:xfrm>
          <a:off x="66769384" y="10795164"/>
          <a:ext cx="28187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Sl</a:t>
          </a:r>
        </a:p>
      </xdr:txBody>
    </xdr:sp>
    <xdr:clientData/>
  </xdr:oneCellAnchor>
  <xdr:oneCellAnchor>
    <xdr:from>
      <xdr:col>110</xdr:col>
      <xdr:colOff>27397</xdr:colOff>
      <xdr:row>56</xdr:row>
      <xdr:rowOff>127164</xdr:rowOff>
    </xdr:from>
    <xdr:ext cx="485261" cy="264560"/>
    <xdr:sp macro="" textlink="">
      <xdr:nvSpPr>
        <xdr:cNvPr id="555" name="TextBox 554"/>
        <xdr:cNvSpPr txBox="1"/>
      </xdr:nvSpPr>
      <xdr:spPr>
        <a:xfrm>
          <a:off x="67083397" y="10795164"/>
          <a:ext cx="4852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P-NO</a:t>
          </a:r>
        </a:p>
      </xdr:txBody>
    </xdr:sp>
    <xdr:clientData/>
  </xdr:oneCellAnchor>
  <xdr:oneCellAnchor>
    <xdr:from>
      <xdr:col>110</xdr:col>
      <xdr:colOff>606236</xdr:colOff>
      <xdr:row>56</xdr:row>
      <xdr:rowOff>133024</xdr:rowOff>
    </xdr:from>
    <xdr:ext cx="621580" cy="264560"/>
    <xdr:sp macro="" textlink="">
      <xdr:nvSpPr>
        <xdr:cNvPr id="556" name="TextBox 555"/>
        <xdr:cNvSpPr txBox="1"/>
      </xdr:nvSpPr>
      <xdr:spPr>
        <a:xfrm>
          <a:off x="67662236" y="10801024"/>
          <a:ext cx="6215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Discript</a:t>
          </a:r>
        </a:p>
      </xdr:txBody>
    </xdr:sp>
    <xdr:clientData/>
  </xdr:oneCellAnchor>
  <xdr:oneCellAnchor>
    <xdr:from>
      <xdr:col>112</xdr:col>
      <xdr:colOff>141714</xdr:colOff>
      <xdr:row>56</xdr:row>
      <xdr:rowOff>138884</xdr:rowOff>
    </xdr:from>
    <xdr:ext cx="592791" cy="264560"/>
    <xdr:sp macro="" textlink="">
      <xdr:nvSpPr>
        <xdr:cNvPr id="557" name="TextBox 556"/>
        <xdr:cNvSpPr txBox="1"/>
      </xdr:nvSpPr>
      <xdr:spPr>
        <a:xfrm>
          <a:off x="68416914" y="10806884"/>
          <a:ext cx="5927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REC DT</a:t>
          </a:r>
        </a:p>
      </xdr:txBody>
    </xdr:sp>
    <xdr:clientData/>
  </xdr:oneCellAnchor>
  <xdr:oneCellAnchor>
    <xdr:from>
      <xdr:col>113</xdr:col>
      <xdr:colOff>280931</xdr:colOff>
      <xdr:row>56</xdr:row>
      <xdr:rowOff>159397</xdr:rowOff>
    </xdr:from>
    <xdr:ext cx="957442" cy="264560"/>
    <xdr:sp macro="" textlink="">
      <xdr:nvSpPr>
        <xdr:cNvPr id="558" name="TextBox 557"/>
        <xdr:cNvSpPr txBox="1"/>
      </xdr:nvSpPr>
      <xdr:spPr>
        <a:xfrm>
          <a:off x="69165731" y="10827397"/>
          <a:ext cx="9574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IOM TODEPT</a:t>
          </a:r>
        </a:p>
      </xdr:txBody>
    </xdr:sp>
    <xdr:clientData/>
  </xdr:oneCellAnchor>
  <xdr:oneCellAnchor>
    <xdr:from>
      <xdr:col>116</xdr:col>
      <xdr:colOff>535913</xdr:colOff>
      <xdr:row>56</xdr:row>
      <xdr:rowOff>150604</xdr:rowOff>
    </xdr:from>
    <xdr:ext cx="739113" cy="264560"/>
    <xdr:sp macro="" textlink="">
      <xdr:nvSpPr>
        <xdr:cNvPr id="559" name="TextBox 558"/>
        <xdr:cNvSpPr txBox="1"/>
      </xdr:nvSpPr>
      <xdr:spPr>
        <a:xfrm>
          <a:off x="71249513" y="10818604"/>
          <a:ext cx="7391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SITE VISIT</a:t>
          </a:r>
        </a:p>
      </xdr:txBody>
    </xdr:sp>
    <xdr:clientData/>
  </xdr:oneCellAnchor>
  <xdr:oneCellAnchor>
    <xdr:from>
      <xdr:col>115</xdr:col>
      <xdr:colOff>78712</xdr:colOff>
      <xdr:row>56</xdr:row>
      <xdr:rowOff>149136</xdr:rowOff>
    </xdr:from>
    <xdr:ext cx="1109984" cy="264560"/>
    <xdr:sp macro="" textlink="">
      <xdr:nvSpPr>
        <xdr:cNvPr id="560" name="TextBox 559"/>
        <xdr:cNvSpPr txBox="1"/>
      </xdr:nvSpPr>
      <xdr:spPr>
        <a:xfrm>
          <a:off x="70182712" y="10817136"/>
          <a:ext cx="110998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COST FRM DEPT</a:t>
          </a:r>
        </a:p>
      </xdr:txBody>
    </xdr:sp>
    <xdr:clientData/>
  </xdr:oneCellAnchor>
  <xdr:oneCellAnchor>
    <xdr:from>
      <xdr:col>118</xdr:col>
      <xdr:colOff>269219</xdr:colOff>
      <xdr:row>56</xdr:row>
      <xdr:rowOff>154997</xdr:rowOff>
    </xdr:from>
    <xdr:ext cx="799193" cy="264560"/>
    <xdr:sp macro="" textlink="">
      <xdr:nvSpPr>
        <xdr:cNvPr id="561" name="TextBox 560"/>
        <xdr:cNvSpPr txBox="1"/>
      </xdr:nvSpPr>
      <xdr:spPr>
        <a:xfrm>
          <a:off x="72202019" y="10822997"/>
          <a:ext cx="79919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BULK MTO</a:t>
          </a:r>
        </a:p>
      </xdr:txBody>
    </xdr:sp>
    <xdr:clientData/>
  </xdr:oneCellAnchor>
  <xdr:oneCellAnchor>
    <xdr:from>
      <xdr:col>119</xdr:col>
      <xdr:colOff>516873</xdr:colOff>
      <xdr:row>56</xdr:row>
      <xdr:rowOff>146203</xdr:rowOff>
    </xdr:from>
    <xdr:ext cx="926857" cy="264560"/>
    <xdr:sp macro="" textlink="">
      <xdr:nvSpPr>
        <xdr:cNvPr id="562" name="TextBox 561"/>
        <xdr:cNvSpPr txBox="1"/>
      </xdr:nvSpPr>
      <xdr:spPr>
        <a:xfrm>
          <a:off x="73059273" y="10814203"/>
          <a:ext cx="9268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EQUIP QUOT</a:t>
          </a:r>
        </a:p>
      </xdr:txBody>
    </xdr:sp>
    <xdr:clientData/>
  </xdr:oneCellAnchor>
  <xdr:oneCellAnchor>
    <xdr:from>
      <xdr:col>121</xdr:col>
      <xdr:colOff>213539</xdr:colOff>
      <xdr:row>56</xdr:row>
      <xdr:rowOff>144737</xdr:rowOff>
    </xdr:from>
    <xdr:ext cx="762453" cy="264560"/>
    <xdr:sp macro="" textlink="">
      <xdr:nvSpPr>
        <xdr:cNvPr id="563" name="TextBox 562"/>
        <xdr:cNvSpPr txBox="1"/>
      </xdr:nvSpPr>
      <xdr:spPr>
        <a:xfrm>
          <a:off x="73975139" y="10812737"/>
          <a:ext cx="7624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ESTIMATE</a:t>
          </a:r>
        </a:p>
      </xdr:txBody>
    </xdr:sp>
    <xdr:clientData/>
  </xdr:oneCellAnchor>
  <xdr:twoCellAnchor>
    <xdr:from>
      <xdr:col>113</xdr:col>
      <xdr:colOff>464527</xdr:colOff>
      <xdr:row>58</xdr:row>
      <xdr:rowOff>102510</xdr:rowOff>
    </xdr:from>
    <xdr:to>
      <xdr:col>113</xdr:col>
      <xdr:colOff>603739</xdr:colOff>
      <xdr:row>59</xdr:row>
      <xdr:rowOff>65875</xdr:rowOff>
    </xdr:to>
    <xdr:sp macro="" textlink="">
      <xdr:nvSpPr>
        <xdr:cNvPr id="564" name="Flowchart: Connector 563"/>
        <xdr:cNvSpPr/>
      </xdr:nvSpPr>
      <xdr:spPr>
        <a:xfrm>
          <a:off x="69349327" y="11151510"/>
          <a:ext cx="139212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113</xdr:col>
      <xdr:colOff>463061</xdr:colOff>
      <xdr:row>60</xdr:row>
      <xdr:rowOff>27776</xdr:rowOff>
    </xdr:from>
    <xdr:to>
      <xdr:col>113</xdr:col>
      <xdr:colOff>602273</xdr:colOff>
      <xdr:row>60</xdr:row>
      <xdr:rowOff>181641</xdr:rowOff>
    </xdr:to>
    <xdr:sp macro="" textlink="">
      <xdr:nvSpPr>
        <xdr:cNvPr id="565" name="Flowchart: Connector 564"/>
        <xdr:cNvSpPr/>
      </xdr:nvSpPr>
      <xdr:spPr>
        <a:xfrm>
          <a:off x="69347861" y="11457776"/>
          <a:ext cx="139212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113</xdr:col>
      <xdr:colOff>454269</xdr:colOff>
      <xdr:row>61</xdr:row>
      <xdr:rowOff>150868</xdr:rowOff>
    </xdr:from>
    <xdr:to>
      <xdr:col>113</xdr:col>
      <xdr:colOff>593481</xdr:colOff>
      <xdr:row>62</xdr:row>
      <xdr:rowOff>114233</xdr:rowOff>
    </xdr:to>
    <xdr:sp macro="" textlink="">
      <xdr:nvSpPr>
        <xdr:cNvPr id="566" name="Flowchart: Connector 565"/>
        <xdr:cNvSpPr/>
      </xdr:nvSpPr>
      <xdr:spPr>
        <a:xfrm>
          <a:off x="69339069" y="11771368"/>
          <a:ext cx="139212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114</xdr:col>
      <xdr:colOff>38100</xdr:colOff>
      <xdr:row>58</xdr:row>
      <xdr:rowOff>65876</xdr:rowOff>
    </xdr:from>
    <xdr:to>
      <xdr:col>115</xdr:col>
      <xdr:colOff>1465</xdr:colOff>
      <xdr:row>59</xdr:row>
      <xdr:rowOff>65876</xdr:rowOff>
    </xdr:to>
    <xdr:sp macro="" textlink="">
      <xdr:nvSpPr>
        <xdr:cNvPr id="567" name="TextBox 566"/>
        <xdr:cNvSpPr txBox="1"/>
      </xdr:nvSpPr>
      <xdr:spPr>
        <a:xfrm>
          <a:off x="69532500" y="11114876"/>
          <a:ext cx="572965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114</xdr:col>
      <xdr:colOff>14652</xdr:colOff>
      <xdr:row>59</xdr:row>
      <xdr:rowOff>188968</xdr:rowOff>
    </xdr:from>
    <xdr:to>
      <xdr:col>115</xdr:col>
      <xdr:colOff>155330</xdr:colOff>
      <xdr:row>60</xdr:row>
      <xdr:rowOff>188968</xdr:rowOff>
    </xdr:to>
    <xdr:sp macro="" textlink="">
      <xdr:nvSpPr>
        <xdr:cNvPr id="568" name="TextBox 567"/>
        <xdr:cNvSpPr txBox="1"/>
      </xdr:nvSpPr>
      <xdr:spPr>
        <a:xfrm>
          <a:off x="69509052" y="11428468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114</xdr:col>
      <xdr:colOff>101109</xdr:colOff>
      <xdr:row>61</xdr:row>
      <xdr:rowOff>143542</xdr:rowOff>
    </xdr:from>
    <xdr:to>
      <xdr:col>115</xdr:col>
      <xdr:colOff>241787</xdr:colOff>
      <xdr:row>62</xdr:row>
      <xdr:rowOff>143542</xdr:rowOff>
    </xdr:to>
    <xdr:sp macro="" textlink="">
      <xdr:nvSpPr>
        <xdr:cNvPr id="569" name="TextBox 568"/>
        <xdr:cNvSpPr txBox="1"/>
      </xdr:nvSpPr>
      <xdr:spPr>
        <a:xfrm>
          <a:off x="69595509" y="11764042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109</xdr:col>
      <xdr:colOff>351690</xdr:colOff>
      <xdr:row>60</xdr:row>
      <xdr:rowOff>62945</xdr:rowOff>
    </xdr:from>
    <xdr:to>
      <xdr:col>110</xdr:col>
      <xdr:colOff>45427</xdr:colOff>
      <xdr:row>61</xdr:row>
      <xdr:rowOff>62945</xdr:rowOff>
    </xdr:to>
    <xdr:sp macro="" textlink="">
      <xdr:nvSpPr>
        <xdr:cNvPr id="570" name="TextBox 569"/>
        <xdr:cNvSpPr txBox="1"/>
      </xdr:nvSpPr>
      <xdr:spPr>
        <a:xfrm>
          <a:off x="66798090" y="11492945"/>
          <a:ext cx="303337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1</a:t>
          </a:r>
        </a:p>
      </xdr:txBody>
    </xdr:sp>
    <xdr:clientData/>
  </xdr:twoCellAnchor>
  <xdr:twoCellAnchor>
    <xdr:from>
      <xdr:col>109</xdr:col>
      <xdr:colOff>562706</xdr:colOff>
      <xdr:row>60</xdr:row>
      <xdr:rowOff>61480</xdr:rowOff>
    </xdr:from>
    <xdr:to>
      <xdr:col>111</xdr:col>
      <xdr:colOff>155332</xdr:colOff>
      <xdr:row>61</xdr:row>
      <xdr:rowOff>61480</xdr:rowOff>
    </xdr:to>
    <xdr:sp macro="" textlink="">
      <xdr:nvSpPr>
        <xdr:cNvPr id="571" name="TextBox 570"/>
        <xdr:cNvSpPr txBox="1"/>
      </xdr:nvSpPr>
      <xdr:spPr>
        <a:xfrm>
          <a:off x="67009106" y="11491480"/>
          <a:ext cx="8118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P-XX-XXX</a:t>
          </a:r>
        </a:p>
      </xdr:txBody>
    </xdr:sp>
    <xdr:clientData/>
  </xdr:twoCellAnchor>
  <xdr:twoCellAnchor>
    <xdr:from>
      <xdr:col>111</xdr:col>
      <xdr:colOff>10257</xdr:colOff>
      <xdr:row>60</xdr:row>
      <xdr:rowOff>81995</xdr:rowOff>
    </xdr:from>
    <xdr:to>
      <xdr:col>112</xdr:col>
      <xdr:colOff>133350</xdr:colOff>
      <xdr:row>61</xdr:row>
      <xdr:rowOff>81995</xdr:rowOff>
    </xdr:to>
    <xdr:sp macro="" textlink="">
      <xdr:nvSpPr>
        <xdr:cNvPr id="572" name="TextBox 571"/>
        <xdr:cNvSpPr txBox="1"/>
      </xdr:nvSpPr>
      <xdr:spPr>
        <a:xfrm>
          <a:off x="67675857" y="11511995"/>
          <a:ext cx="73269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XXXXXXX</a:t>
          </a:r>
        </a:p>
      </xdr:txBody>
    </xdr:sp>
    <xdr:clientData/>
  </xdr:twoCellAnchor>
  <xdr:twoCellAnchor>
    <xdr:from>
      <xdr:col>112</xdr:col>
      <xdr:colOff>67406</xdr:colOff>
      <xdr:row>60</xdr:row>
      <xdr:rowOff>58549</xdr:rowOff>
    </xdr:from>
    <xdr:to>
      <xdr:col>113</xdr:col>
      <xdr:colOff>347296</xdr:colOff>
      <xdr:row>61</xdr:row>
      <xdr:rowOff>58549</xdr:rowOff>
    </xdr:to>
    <xdr:sp macro="" textlink="">
      <xdr:nvSpPr>
        <xdr:cNvPr id="573" name="TextBox 572"/>
        <xdr:cNvSpPr txBox="1"/>
      </xdr:nvSpPr>
      <xdr:spPr>
        <a:xfrm>
          <a:off x="68342606" y="11488549"/>
          <a:ext cx="88949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XX/XX/XXXX</a:t>
          </a:r>
        </a:p>
      </xdr:txBody>
    </xdr:sp>
    <xdr:clientData/>
  </xdr:twoCellAnchor>
  <xdr:twoCellAnchor>
    <xdr:from>
      <xdr:col>115</xdr:col>
      <xdr:colOff>212491</xdr:colOff>
      <xdr:row>58</xdr:row>
      <xdr:rowOff>101045</xdr:rowOff>
    </xdr:from>
    <xdr:to>
      <xdr:col>115</xdr:col>
      <xdr:colOff>353169</xdr:colOff>
      <xdr:row>59</xdr:row>
      <xdr:rowOff>64410</xdr:rowOff>
    </xdr:to>
    <xdr:sp macro="" textlink="">
      <xdr:nvSpPr>
        <xdr:cNvPr id="574" name="Flowchart: Connector 573"/>
        <xdr:cNvSpPr/>
      </xdr:nvSpPr>
      <xdr:spPr>
        <a:xfrm>
          <a:off x="70316491" y="11150045"/>
          <a:ext cx="140678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115</xdr:col>
      <xdr:colOff>211025</xdr:colOff>
      <xdr:row>60</xdr:row>
      <xdr:rowOff>26311</xdr:rowOff>
    </xdr:from>
    <xdr:to>
      <xdr:col>115</xdr:col>
      <xdr:colOff>351703</xdr:colOff>
      <xdr:row>60</xdr:row>
      <xdr:rowOff>180176</xdr:rowOff>
    </xdr:to>
    <xdr:sp macro="" textlink="">
      <xdr:nvSpPr>
        <xdr:cNvPr id="575" name="Flowchart: Connector 574"/>
        <xdr:cNvSpPr/>
      </xdr:nvSpPr>
      <xdr:spPr>
        <a:xfrm>
          <a:off x="70315025" y="11456311"/>
          <a:ext cx="140678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115</xdr:col>
      <xdr:colOff>202233</xdr:colOff>
      <xdr:row>61</xdr:row>
      <xdr:rowOff>149403</xdr:rowOff>
    </xdr:from>
    <xdr:to>
      <xdr:col>115</xdr:col>
      <xdr:colOff>342911</xdr:colOff>
      <xdr:row>62</xdr:row>
      <xdr:rowOff>112768</xdr:rowOff>
    </xdr:to>
    <xdr:sp macro="" textlink="">
      <xdr:nvSpPr>
        <xdr:cNvPr id="576" name="Flowchart: Connector 575"/>
        <xdr:cNvSpPr/>
      </xdr:nvSpPr>
      <xdr:spPr>
        <a:xfrm>
          <a:off x="70306233" y="11769903"/>
          <a:ext cx="140678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115</xdr:col>
      <xdr:colOff>397130</xdr:colOff>
      <xdr:row>58</xdr:row>
      <xdr:rowOff>64411</xdr:rowOff>
    </xdr:from>
    <xdr:to>
      <xdr:col>116</xdr:col>
      <xdr:colOff>360495</xdr:colOff>
      <xdr:row>59</xdr:row>
      <xdr:rowOff>64411</xdr:rowOff>
    </xdr:to>
    <xdr:sp macro="" textlink="">
      <xdr:nvSpPr>
        <xdr:cNvPr id="577" name="TextBox 576"/>
        <xdr:cNvSpPr txBox="1"/>
      </xdr:nvSpPr>
      <xdr:spPr>
        <a:xfrm>
          <a:off x="70501130" y="11113411"/>
          <a:ext cx="572965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115</xdr:col>
      <xdr:colOff>373682</xdr:colOff>
      <xdr:row>59</xdr:row>
      <xdr:rowOff>187503</xdr:rowOff>
    </xdr:from>
    <xdr:to>
      <xdr:col>116</xdr:col>
      <xdr:colOff>514360</xdr:colOff>
      <xdr:row>60</xdr:row>
      <xdr:rowOff>187503</xdr:rowOff>
    </xdr:to>
    <xdr:sp macro="" textlink="">
      <xdr:nvSpPr>
        <xdr:cNvPr id="578" name="TextBox 577"/>
        <xdr:cNvSpPr txBox="1"/>
      </xdr:nvSpPr>
      <xdr:spPr>
        <a:xfrm>
          <a:off x="70477682" y="11427003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115</xdr:col>
      <xdr:colOff>460139</xdr:colOff>
      <xdr:row>61</xdr:row>
      <xdr:rowOff>142077</xdr:rowOff>
    </xdr:from>
    <xdr:to>
      <xdr:col>116</xdr:col>
      <xdr:colOff>600817</xdr:colOff>
      <xdr:row>62</xdr:row>
      <xdr:rowOff>142077</xdr:rowOff>
    </xdr:to>
    <xdr:sp macro="" textlink="">
      <xdr:nvSpPr>
        <xdr:cNvPr id="579" name="TextBox 578"/>
        <xdr:cNvSpPr txBox="1"/>
      </xdr:nvSpPr>
      <xdr:spPr>
        <a:xfrm>
          <a:off x="70564139" y="11762577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116</xdr:col>
      <xdr:colOff>527557</xdr:colOff>
      <xdr:row>58</xdr:row>
      <xdr:rowOff>99578</xdr:rowOff>
    </xdr:from>
    <xdr:to>
      <xdr:col>117</xdr:col>
      <xdr:colOff>57169</xdr:colOff>
      <xdr:row>59</xdr:row>
      <xdr:rowOff>62943</xdr:rowOff>
    </xdr:to>
    <xdr:sp macro="" textlink="">
      <xdr:nvSpPr>
        <xdr:cNvPr id="580" name="Flowchart: Connector 579"/>
        <xdr:cNvSpPr/>
      </xdr:nvSpPr>
      <xdr:spPr>
        <a:xfrm>
          <a:off x="71241157" y="11148578"/>
          <a:ext cx="139212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116</xdr:col>
      <xdr:colOff>526091</xdr:colOff>
      <xdr:row>60</xdr:row>
      <xdr:rowOff>24844</xdr:rowOff>
    </xdr:from>
    <xdr:to>
      <xdr:col>117</xdr:col>
      <xdr:colOff>55703</xdr:colOff>
      <xdr:row>60</xdr:row>
      <xdr:rowOff>178709</xdr:rowOff>
    </xdr:to>
    <xdr:sp macro="" textlink="">
      <xdr:nvSpPr>
        <xdr:cNvPr id="581" name="Flowchart: Connector 580"/>
        <xdr:cNvSpPr/>
      </xdr:nvSpPr>
      <xdr:spPr>
        <a:xfrm>
          <a:off x="71239691" y="11454844"/>
          <a:ext cx="139212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116</xdr:col>
      <xdr:colOff>517299</xdr:colOff>
      <xdr:row>61</xdr:row>
      <xdr:rowOff>147936</xdr:rowOff>
    </xdr:from>
    <xdr:to>
      <xdr:col>117</xdr:col>
      <xdr:colOff>46911</xdr:colOff>
      <xdr:row>62</xdr:row>
      <xdr:rowOff>111301</xdr:rowOff>
    </xdr:to>
    <xdr:sp macro="" textlink="">
      <xdr:nvSpPr>
        <xdr:cNvPr id="582" name="Flowchart: Connector 581"/>
        <xdr:cNvSpPr/>
      </xdr:nvSpPr>
      <xdr:spPr>
        <a:xfrm>
          <a:off x="71230899" y="11768436"/>
          <a:ext cx="139212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117</xdr:col>
      <xdr:colOff>101130</xdr:colOff>
      <xdr:row>58</xdr:row>
      <xdr:rowOff>62944</xdr:rowOff>
    </xdr:from>
    <xdr:to>
      <xdr:col>118</xdr:col>
      <xdr:colOff>64495</xdr:colOff>
      <xdr:row>59</xdr:row>
      <xdr:rowOff>62944</xdr:rowOff>
    </xdr:to>
    <xdr:sp macro="" textlink="">
      <xdr:nvSpPr>
        <xdr:cNvPr id="583" name="TextBox 582"/>
        <xdr:cNvSpPr txBox="1"/>
      </xdr:nvSpPr>
      <xdr:spPr>
        <a:xfrm>
          <a:off x="71424330" y="11111944"/>
          <a:ext cx="572965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117</xdr:col>
      <xdr:colOff>77682</xdr:colOff>
      <xdr:row>59</xdr:row>
      <xdr:rowOff>186036</xdr:rowOff>
    </xdr:from>
    <xdr:to>
      <xdr:col>118</xdr:col>
      <xdr:colOff>218360</xdr:colOff>
      <xdr:row>60</xdr:row>
      <xdr:rowOff>186036</xdr:rowOff>
    </xdr:to>
    <xdr:sp macro="" textlink="">
      <xdr:nvSpPr>
        <xdr:cNvPr id="584" name="TextBox 583"/>
        <xdr:cNvSpPr txBox="1"/>
      </xdr:nvSpPr>
      <xdr:spPr>
        <a:xfrm>
          <a:off x="71400882" y="11425536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117</xdr:col>
      <xdr:colOff>164139</xdr:colOff>
      <xdr:row>61</xdr:row>
      <xdr:rowOff>140610</xdr:rowOff>
    </xdr:from>
    <xdr:to>
      <xdr:col>118</xdr:col>
      <xdr:colOff>306283</xdr:colOff>
      <xdr:row>62</xdr:row>
      <xdr:rowOff>140610</xdr:rowOff>
    </xdr:to>
    <xdr:sp macro="" textlink="">
      <xdr:nvSpPr>
        <xdr:cNvPr id="585" name="TextBox 584"/>
        <xdr:cNvSpPr txBox="1"/>
      </xdr:nvSpPr>
      <xdr:spPr>
        <a:xfrm>
          <a:off x="71487339" y="11761110"/>
          <a:ext cx="751744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118</xdr:col>
      <xdr:colOff>216903</xdr:colOff>
      <xdr:row>58</xdr:row>
      <xdr:rowOff>105438</xdr:rowOff>
    </xdr:from>
    <xdr:to>
      <xdr:col>118</xdr:col>
      <xdr:colOff>357581</xdr:colOff>
      <xdr:row>59</xdr:row>
      <xdr:rowOff>68803</xdr:rowOff>
    </xdr:to>
    <xdr:sp macro="" textlink="">
      <xdr:nvSpPr>
        <xdr:cNvPr id="586" name="Flowchart: Connector 585"/>
        <xdr:cNvSpPr/>
      </xdr:nvSpPr>
      <xdr:spPr>
        <a:xfrm>
          <a:off x="72149703" y="11154438"/>
          <a:ext cx="140678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118</xdr:col>
      <xdr:colOff>215437</xdr:colOff>
      <xdr:row>60</xdr:row>
      <xdr:rowOff>30704</xdr:rowOff>
    </xdr:from>
    <xdr:to>
      <xdr:col>118</xdr:col>
      <xdr:colOff>356115</xdr:colOff>
      <xdr:row>60</xdr:row>
      <xdr:rowOff>184569</xdr:rowOff>
    </xdr:to>
    <xdr:sp macro="" textlink="">
      <xdr:nvSpPr>
        <xdr:cNvPr id="587" name="Flowchart: Connector 586"/>
        <xdr:cNvSpPr/>
      </xdr:nvSpPr>
      <xdr:spPr>
        <a:xfrm>
          <a:off x="72148237" y="11460704"/>
          <a:ext cx="140678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118</xdr:col>
      <xdr:colOff>206645</xdr:colOff>
      <xdr:row>61</xdr:row>
      <xdr:rowOff>153796</xdr:rowOff>
    </xdr:from>
    <xdr:to>
      <xdr:col>118</xdr:col>
      <xdr:colOff>347323</xdr:colOff>
      <xdr:row>62</xdr:row>
      <xdr:rowOff>117161</xdr:rowOff>
    </xdr:to>
    <xdr:sp macro="" textlink="">
      <xdr:nvSpPr>
        <xdr:cNvPr id="588" name="Flowchart: Connector 587"/>
        <xdr:cNvSpPr/>
      </xdr:nvSpPr>
      <xdr:spPr>
        <a:xfrm>
          <a:off x="72139445" y="11774296"/>
          <a:ext cx="140678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118</xdr:col>
      <xdr:colOff>401542</xdr:colOff>
      <xdr:row>58</xdr:row>
      <xdr:rowOff>68804</xdr:rowOff>
    </xdr:from>
    <xdr:to>
      <xdr:col>119</xdr:col>
      <xdr:colOff>364907</xdr:colOff>
      <xdr:row>59</xdr:row>
      <xdr:rowOff>68804</xdr:rowOff>
    </xdr:to>
    <xdr:sp macro="" textlink="">
      <xdr:nvSpPr>
        <xdr:cNvPr id="589" name="TextBox 588"/>
        <xdr:cNvSpPr txBox="1"/>
      </xdr:nvSpPr>
      <xdr:spPr>
        <a:xfrm>
          <a:off x="72334342" y="11117804"/>
          <a:ext cx="572965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118</xdr:col>
      <xdr:colOff>378094</xdr:colOff>
      <xdr:row>60</xdr:row>
      <xdr:rowOff>1396</xdr:rowOff>
    </xdr:from>
    <xdr:to>
      <xdr:col>119</xdr:col>
      <xdr:colOff>518772</xdr:colOff>
      <xdr:row>61</xdr:row>
      <xdr:rowOff>1396</xdr:rowOff>
    </xdr:to>
    <xdr:sp macro="" textlink="">
      <xdr:nvSpPr>
        <xdr:cNvPr id="590" name="TextBox 589"/>
        <xdr:cNvSpPr txBox="1"/>
      </xdr:nvSpPr>
      <xdr:spPr>
        <a:xfrm>
          <a:off x="72310894" y="11431396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118</xdr:col>
      <xdr:colOff>464551</xdr:colOff>
      <xdr:row>61</xdr:row>
      <xdr:rowOff>146470</xdr:rowOff>
    </xdr:from>
    <xdr:to>
      <xdr:col>119</xdr:col>
      <xdr:colOff>605229</xdr:colOff>
      <xdr:row>62</xdr:row>
      <xdr:rowOff>146470</xdr:rowOff>
    </xdr:to>
    <xdr:sp macro="" textlink="">
      <xdr:nvSpPr>
        <xdr:cNvPr id="591" name="TextBox 590"/>
        <xdr:cNvSpPr txBox="1"/>
      </xdr:nvSpPr>
      <xdr:spPr>
        <a:xfrm>
          <a:off x="72397351" y="11766970"/>
          <a:ext cx="75027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119</xdr:col>
      <xdr:colOff>561277</xdr:colOff>
      <xdr:row>58</xdr:row>
      <xdr:rowOff>111298</xdr:rowOff>
    </xdr:from>
    <xdr:to>
      <xdr:col>120</xdr:col>
      <xdr:colOff>90889</xdr:colOff>
      <xdr:row>59</xdr:row>
      <xdr:rowOff>74663</xdr:rowOff>
    </xdr:to>
    <xdr:sp macro="" textlink="">
      <xdr:nvSpPr>
        <xdr:cNvPr id="592" name="Flowchart: Connector 591"/>
        <xdr:cNvSpPr/>
      </xdr:nvSpPr>
      <xdr:spPr>
        <a:xfrm>
          <a:off x="73103677" y="11160298"/>
          <a:ext cx="139212" cy="153865"/>
        </a:xfrm>
        <a:prstGeom prst="flowChartConnector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119</xdr:col>
      <xdr:colOff>559811</xdr:colOff>
      <xdr:row>60</xdr:row>
      <xdr:rowOff>36564</xdr:rowOff>
    </xdr:from>
    <xdr:to>
      <xdr:col>120</xdr:col>
      <xdr:colOff>89423</xdr:colOff>
      <xdr:row>60</xdr:row>
      <xdr:rowOff>190429</xdr:rowOff>
    </xdr:to>
    <xdr:sp macro="" textlink="">
      <xdr:nvSpPr>
        <xdr:cNvPr id="593" name="Flowchart: Connector 592"/>
        <xdr:cNvSpPr/>
      </xdr:nvSpPr>
      <xdr:spPr>
        <a:xfrm>
          <a:off x="73102211" y="11466564"/>
          <a:ext cx="139212" cy="153865"/>
        </a:xfrm>
        <a:prstGeom prst="flowChartConnector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119</xdr:col>
      <xdr:colOff>551019</xdr:colOff>
      <xdr:row>61</xdr:row>
      <xdr:rowOff>159656</xdr:rowOff>
    </xdr:from>
    <xdr:to>
      <xdr:col>120</xdr:col>
      <xdr:colOff>80631</xdr:colOff>
      <xdr:row>62</xdr:row>
      <xdr:rowOff>123021</xdr:rowOff>
    </xdr:to>
    <xdr:sp macro="" textlink="">
      <xdr:nvSpPr>
        <xdr:cNvPr id="594" name="Flowchart: Connector 593"/>
        <xdr:cNvSpPr/>
      </xdr:nvSpPr>
      <xdr:spPr>
        <a:xfrm>
          <a:off x="73093419" y="11780156"/>
          <a:ext cx="139212" cy="153865"/>
        </a:xfrm>
        <a:prstGeom prst="flowChartConnector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120</xdr:col>
      <xdr:colOff>134850</xdr:colOff>
      <xdr:row>58</xdr:row>
      <xdr:rowOff>74664</xdr:rowOff>
    </xdr:from>
    <xdr:to>
      <xdr:col>121</xdr:col>
      <xdr:colOff>98216</xdr:colOff>
      <xdr:row>59</xdr:row>
      <xdr:rowOff>74664</xdr:rowOff>
    </xdr:to>
    <xdr:sp macro="" textlink="">
      <xdr:nvSpPr>
        <xdr:cNvPr id="595" name="TextBox 594"/>
        <xdr:cNvSpPr txBox="1"/>
      </xdr:nvSpPr>
      <xdr:spPr>
        <a:xfrm>
          <a:off x="73286850" y="11123664"/>
          <a:ext cx="57296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DONE</a:t>
          </a:r>
        </a:p>
      </xdr:txBody>
    </xdr:sp>
    <xdr:clientData/>
  </xdr:twoCellAnchor>
  <xdr:twoCellAnchor>
    <xdr:from>
      <xdr:col>120</xdr:col>
      <xdr:colOff>111402</xdr:colOff>
      <xdr:row>60</xdr:row>
      <xdr:rowOff>7256</xdr:rowOff>
    </xdr:from>
    <xdr:to>
      <xdr:col>121</xdr:col>
      <xdr:colOff>252081</xdr:colOff>
      <xdr:row>61</xdr:row>
      <xdr:rowOff>7256</xdr:rowOff>
    </xdr:to>
    <xdr:sp macro="" textlink="">
      <xdr:nvSpPr>
        <xdr:cNvPr id="596" name="TextBox 595"/>
        <xdr:cNvSpPr txBox="1"/>
      </xdr:nvSpPr>
      <xdr:spPr>
        <a:xfrm>
          <a:off x="73263402" y="11437256"/>
          <a:ext cx="75027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PENDING</a:t>
          </a:r>
        </a:p>
      </xdr:txBody>
    </xdr:sp>
    <xdr:clientData/>
  </xdr:twoCellAnchor>
  <xdr:twoCellAnchor>
    <xdr:from>
      <xdr:col>120</xdr:col>
      <xdr:colOff>197859</xdr:colOff>
      <xdr:row>61</xdr:row>
      <xdr:rowOff>152330</xdr:rowOff>
    </xdr:from>
    <xdr:to>
      <xdr:col>121</xdr:col>
      <xdr:colOff>340003</xdr:colOff>
      <xdr:row>62</xdr:row>
      <xdr:rowOff>152330</xdr:rowOff>
    </xdr:to>
    <xdr:sp macro="" textlink="">
      <xdr:nvSpPr>
        <xdr:cNvPr id="597" name="TextBox 596"/>
        <xdr:cNvSpPr txBox="1"/>
      </xdr:nvSpPr>
      <xdr:spPr>
        <a:xfrm>
          <a:off x="73349859" y="11772830"/>
          <a:ext cx="751744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NA</a:t>
          </a:r>
        </a:p>
      </xdr:txBody>
    </xdr:sp>
    <xdr:clientData/>
  </xdr:twoCellAnchor>
  <xdr:twoCellAnchor>
    <xdr:from>
      <xdr:col>121</xdr:col>
      <xdr:colOff>249157</xdr:colOff>
      <xdr:row>59</xdr:row>
      <xdr:rowOff>86384</xdr:rowOff>
    </xdr:from>
    <xdr:to>
      <xdr:col>122</xdr:col>
      <xdr:colOff>508488</xdr:colOff>
      <xdr:row>61</xdr:row>
      <xdr:rowOff>58547</xdr:rowOff>
    </xdr:to>
    <xdr:sp macro="" textlink="">
      <xdr:nvSpPr>
        <xdr:cNvPr id="598" name="TextBox 597"/>
        <xdr:cNvSpPr txBox="1"/>
      </xdr:nvSpPr>
      <xdr:spPr>
        <a:xfrm>
          <a:off x="74010757" y="11325884"/>
          <a:ext cx="868931" cy="353163"/>
        </a:xfrm>
        <a:prstGeom prst="rect">
          <a:avLst/>
        </a:prstGeom>
        <a:noFill/>
        <a:ln w="381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COST</a:t>
          </a:r>
        </a:p>
      </xdr:txBody>
    </xdr:sp>
    <xdr:clientData/>
  </xdr:twoCellAnchor>
  <xdr:twoCellAnchor>
    <xdr:from>
      <xdr:col>112</xdr:col>
      <xdr:colOff>24497</xdr:colOff>
      <xdr:row>47</xdr:row>
      <xdr:rowOff>166873</xdr:rowOff>
    </xdr:from>
    <xdr:to>
      <xdr:col>112</xdr:col>
      <xdr:colOff>29576</xdr:colOff>
      <xdr:row>55</xdr:row>
      <xdr:rowOff>12496</xdr:rowOff>
    </xdr:to>
    <xdr:cxnSp macro="">
      <xdr:nvCxnSpPr>
        <xdr:cNvPr id="599" name="Straight Arrow Connector 598"/>
        <xdr:cNvCxnSpPr/>
      </xdr:nvCxnSpPr>
      <xdr:spPr>
        <a:xfrm rot="5400000">
          <a:off x="67617425" y="9802645"/>
          <a:ext cx="1369623" cy="5079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457204</xdr:colOff>
      <xdr:row>39</xdr:row>
      <xdr:rowOff>94820</xdr:rowOff>
    </xdr:from>
    <xdr:to>
      <xdr:col>62</xdr:col>
      <xdr:colOff>547689</xdr:colOff>
      <xdr:row>39</xdr:row>
      <xdr:rowOff>95251</xdr:rowOff>
    </xdr:to>
    <xdr:cxnSp macro="">
      <xdr:nvCxnSpPr>
        <xdr:cNvPr id="602" name="Straight Connector 601"/>
        <xdr:cNvCxnSpPr/>
      </xdr:nvCxnSpPr>
      <xdr:spPr>
        <a:xfrm rot="10800000">
          <a:off x="33889954" y="7524320"/>
          <a:ext cx="5043485" cy="43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561975</xdr:colOff>
      <xdr:row>68</xdr:row>
      <xdr:rowOff>71004</xdr:rowOff>
    </xdr:from>
    <xdr:to>
      <xdr:col>41</xdr:col>
      <xdr:colOff>438150</xdr:colOff>
      <xdr:row>69</xdr:row>
      <xdr:rowOff>71004</xdr:rowOff>
    </xdr:to>
    <xdr:sp macro="" textlink="">
      <xdr:nvSpPr>
        <xdr:cNvPr id="607" name="Rectangle 606"/>
        <xdr:cNvSpPr/>
      </xdr:nvSpPr>
      <xdr:spPr>
        <a:xfrm>
          <a:off x="24945975" y="13025004"/>
          <a:ext cx="485775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oneCellAnchor>
    <xdr:from>
      <xdr:col>40</xdr:col>
      <xdr:colOff>428625</xdr:colOff>
      <xdr:row>67</xdr:row>
      <xdr:rowOff>13854</xdr:rowOff>
    </xdr:from>
    <xdr:ext cx="678519" cy="264560"/>
    <xdr:sp macro="" textlink="">
      <xdr:nvSpPr>
        <xdr:cNvPr id="608" name="TextBox 607"/>
        <xdr:cNvSpPr txBox="1"/>
      </xdr:nvSpPr>
      <xdr:spPr>
        <a:xfrm>
          <a:off x="24812625" y="12777354"/>
          <a:ext cx="6785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/>
            <a:t>M/N-NO</a:t>
          </a:r>
        </a:p>
      </xdr:txBody>
    </xdr:sp>
    <xdr:clientData/>
  </xdr:oneCellAnchor>
  <xdr:twoCellAnchor>
    <xdr:from>
      <xdr:col>42</xdr:col>
      <xdr:colOff>602796</xdr:colOff>
      <xdr:row>142</xdr:row>
      <xdr:rowOff>144483</xdr:rowOff>
    </xdr:from>
    <xdr:to>
      <xdr:col>45</xdr:col>
      <xdr:colOff>574221</xdr:colOff>
      <xdr:row>150</xdr:row>
      <xdr:rowOff>134958</xdr:rowOff>
    </xdr:to>
    <xdr:sp macro="" textlink="">
      <xdr:nvSpPr>
        <xdr:cNvPr id="612" name="Flowchart: Decision 611"/>
        <xdr:cNvSpPr/>
      </xdr:nvSpPr>
      <xdr:spPr>
        <a:xfrm>
          <a:off x="26320296" y="27195483"/>
          <a:ext cx="1808389" cy="1514475"/>
        </a:xfrm>
        <a:prstGeom prst="flowChartDecision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IF </a:t>
          </a:r>
        </a:p>
        <a:p>
          <a:pPr algn="ctr"/>
          <a:r>
            <a:rPr lang="en-IN" sz="1100" b="1">
              <a:solidFill>
                <a:schemeClr val="dk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MAT REQ QTY &gt; MAT AVAL QTY" </a:t>
          </a:r>
          <a:endParaRPr lang="en-IN" sz="1100"/>
        </a:p>
      </xdr:txBody>
    </xdr:sp>
    <xdr:clientData/>
  </xdr:twoCellAnchor>
  <xdr:twoCellAnchor>
    <xdr:from>
      <xdr:col>46</xdr:col>
      <xdr:colOff>445156</xdr:colOff>
      <xdr:row>167</xdr:row>
      <xdr:rowOff>2090</xdr:rowOff>
    </xdr:from>
    <xdr:to>
      <xdr:col>81</xdr:col>
      <xdr:colOff>595313</xdr:colOff>
      <xdr:row>167</xdr:row>
      <xdr:rowOff>71438</xdr:rowOff>
    </xdr:to>
    <xdr:cxnSp macro="">
      <xdr:nvCxnSpPr>
        <xdr:cNvPr id="615" name="Straight Arrow Connector 614"/>
        <xdr:cNvCxnSpPr/>
      </xdr:nvCxnSpPr>
      <xdr:spPr>
        <a:xfrm>
          <a:off x="28924906" y="31815590"/>
          <a:ext cx="21819532" cy="69348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547688</xdr:colOff>
      <xdr:row>66</xdr:row>
      <xdr:rowOff>23814</xdr:rowOff>
    </xdr:from>
    <xdr:to>
      <xdr:col>81</xdr:col>
      <xdr:colOff>595313</xdr:colOff>
      <xdr:row>166</xdr:row>
      <xdr:rowOff>166689</xdr:rowOff>
    </xdr:to>
    <xdr:cxnSp macro="">
      <xdr:nvCxnSpPr>
        <xdr:cNvPr id="618" name="Straight Arrow Connector 617"/>
        <xdr:cNvCxnSpPr/>
      </xdr:nvCxnSpPr>
      <xdr:spPr>
        <a:xfrm rot="5400000" flipH="1" flipV="1">
          <a:off x="41124188" y="22169439"/>
          <a:ext cx="19192875" cy="47625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195263</xdr:colOff>
      <xdr:row>62</xdr:row>
      <xdr:rowOff>132916</xdr:rowOff>
    </xdr:from>
    <xdr:to>
      <xdr:col>84</xdr:col>
      <xdr:colOff>157163</xdr:colOff>
      <xdr:row>66</xdr:row>
      <xdr:rowOff>56716</xdr:rowOff>
    </xdr:to>
    <xdr:sp macro="" textlink="">
      <xdr:nvSpPr>
        <xdr:cNvPr id="620" name="Flowchart: Stored Data 619"/>
        <xdr:cNvSpPr/>
      </xdr:nvSpPr>
      <xdr:spPr>
        <a:xfrm>
          <a:off x="49725263" y="11943916"/>
          <a:ext cx="2438400" cy="685800"/>
        </a:xfrm>
        <a:prstGeom prst="flowChartOnlineStorag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IN" sz="1800" b="1" cap="none" spc="0" baseline="0">
              <a:ln w="11430">
                <a:solidFill>
                  <a:schemeClr val="accent5">
                    <a:lumMod val="75000"/>
                  </a:schemeClr>
                </a:solidFill>
              </a:ln>
              <a:solidFill>
                <a:schemeClr val="accent5">
                  <a:lumMod val="75000"/>
                </a:schemeClr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MAT REQ DATABASE</a:t>
          </a:r>
          <a:endParaRPr lang="en-IN" sz="1100" b="1" cap="none" spc="0">
            <a:ln w="11430">
              <a:solidFill>
                <a:schemeClr val="accent5">
                  <a:lumMod val="75000"/>
                </a:schemeClr>
              </a:solidFill>
            </a:ln>
            <a:solidFill>
              <a:schemeClr val="accent5">
                <a:lumMod val="75000"/>
              </a:schemeClr>
            </a:soli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45</xdr:col>
      <xdr:colOff>526119</xdr:colOff>
      <xdr:row>146</xdr:row>
      <xdr:rowOff>154489</xdr:rowOff>
    </xdr:from>
    <xdr:to>
      <xdr:col>82</xdr:col>
      <xdr:colOff>571500</xdr:colOff>
      <xdr:row>146</xdr:row>
      <xdr:rowOff>166688</xdr:rowOff>
    </xdr:to>
    <xdr:cxnSp macro="">
      <xdr:nvCxnSpPr>
        <xdr:cNvPr id="623" name="Straight Arrow Connector 622"/>
        <xdr:cNvCxnSpPr/>
      </xdr:nvCxnSpPr>
      <xdr:spPr>
        <a:xfrm>
          <a:off x="28386744" y="27967489"/>
          <a:ext cx="22953006" cy="12199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523876</xdr:colOff>
      <xdr:row>66</xdr:row>
      <xdr:rowOff>23813</xdr:rowOff>
    </xdr:from>
    <xdr:to>
      <xdr:col>82</xdr:col>
      <xdr:colOff>547689</xdr:colOff>
      <xdr:row>147</xdr:row>
      <xdr:rowOff>0</xdr:rowOff>
    </xdr:to>
    <xdr:cxnSp macro="">
      <xdr:nvCxnSpPr>
        <xdr:cNvPr id="624" name="Straight Arrow Connector 623"/>
        <xdr:cNvCxnSpPr/>
      </xdr:nvCxnSpPr>
      <xdr:spPr>
        <a:xfrm rot="16200000" flipV="1">
          <a:off x="43600689" y="20288250"/>
          <a:ext cx="15406687" cy="23813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284395</xdr:colOff>
      <xdr:row>139</xdr:row>
      <xdr:rowOff>54431</xdr:rowOff>
    </xdr:from>
    <xdr:to>
      <xdr:col>44</xdr:col>
      <xdr:colOff>285751</xdr:colOff>
      <xdr:row>142</xdr:row>
      <xdr:rowOff>166258</xdr:rowOff>
    </xdr:to>
    <xdr:cxnSp macro="">
      <xdr:nvCxnSpPr>
        <xdr:cNvPr id="630" name="Straight Arrow Connector 629"/>
        <xdr:cNvCxnSpPr/>
      </xdr:nvCxnSpPr>
      <xdr:spPr>
        <a:xfrm rot="5400000">
          <a:off x="26885552" y="26874917"/>
          <a:ext cx="683327" cy="1356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142875</xdr:colOff>
      <xdr:row>184</xdr:row>
      <xdr:rowOff>119063</xdr:rowOff>
    </xdr:from>
    <xdr:to>
      <xdr:col>44</xdr:col>
      <xdr:colOff>152401</xdr:colOff>
      <xdr:row>189</xdr:row>
      <xdr:rowOff>104775</xdr:rowOff>
    </xdr:to>
    <xdr:cxnSp macro="">
      <xdr:nvCxnSpPr>
        <xdr:cNvPr id="639" name="Straight Arrow Connector 638"/>
        <xdr:cNvCxnSpPr/>
      </xdr:nvCxnSpPr>
      <xdr:spPr>
        <a:xfrm rot="16200000" flipH="1">
          <a:off x="26920032" y="35635406"/>
          <a:ext cx="938212" cy="9526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9525</xdr:rowOff>
        </xdr:from>
        <xdr:to>
          <xdr:col>2</xdr:col>
          <xdr:colOff>600075</xdr:colOff>
          <xdr:row>5</xdr:row>
          <xdr:rowOff>0</xdr:rowOff>
        </xdr:to>
        <xdr:sp macro="" textlink="">
          <xdr:nvSpPr>
            <xdr:cNvPr id="2058" name="CEENTRY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19050</xdr:rowOff>
        </xdr:from>
        <xdr:to>
          <xdr:col>3</xdr:col>
          <xdr:colOff>0</xdr:colOff>
          <xdr:row>10</xdr:row>
          <xdr:rowOff>180975</xdr:rowOff>
        </xdr:to>
        <xdr:sp macro="" textlink="">
          <xdr:nvSpPr>
            <xdr:cNvPr id="2059" name="CEUPDATE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9525</xdr:rowOff>
        </xdr:from>
        <xdr:to>
          <xdr:col>3</xdr:col>
          <xdr:colOff>0</xdr:colOff>
          <xdr:row>17</xdr:row>
          <xdr:rowOff>9525</xdr:rowOff>
        </xdr:to>
        <xdr:sp macro="" textlink="">
          <xdr:nvSpPr>
            <xdr:cNvPr id="2060" name="CESTATU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9525</xdr:rowOff>
        </xdr:from>
        <xdr:to>
          <xdr:col>5</xdr:col>
          <xdr:colOff>600075</xdr:colOff>
          <xdr:row>5</xdr:row>
          <xdr:rowOff>0</xdr:rowOff>
        </xdr:to>
        <xdr:sp macro="" textlink="">
          <xdr:nvSpPr>
            <xdr:cNvPr id="2061" name="EEENTRY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19050</xdr:rowOff>
        </xdr:from>
        <xdr:to>
          <xdr:col>6</xdr:col>
          <xdr:colOff>9525</xdr:colOff>
          <xdr:row>10</xdr:row>
          <xdr:rowOff>180975</xdr:rowOff>
        </xdr:to>
        <xdr:sp macro="" textlink="">
          <xdr:nvSpPr>
            <xdr:cNvPr id="2062" name="EEUPDATE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14</xdr:row>
          <xdr:rowOff>9525</xdr:rowOff>
        </xdr:from>
        <xdr:to>
          <xdr:col>6</xdr:col>
          <xdr:colOff>9525</xdr:colOff>
          <xdr:row>17</xdr:row>
          <xdr:rowOff>9525</xdr:rowOff>
        </xdr:to>
        <xdr:sp macro="" textlink="">
          <xdr:nvSpPr>
            <xdr:cNvPr id="2063" name="EESTATU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9525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064" name="PR_ENTR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8</xdr:row>
          <xdr:rowOff>19050</xdr:rowOff>
        </xdr:from>
        <xdr:to>
          <xdr:col>9</xdr:col>
          <xdr:colOff>19050</xdr:colOff>
          <xdr:row>10</xdr:row>
          <xdr:rowOff>180975</xdr:rowOff>
        </xdr:to>
        <xdr:sp macro="" textlink="">
          <xdr:nvSpPr>
            <xdr:cNvPr id="2065" name="PR_UPDATE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14</xdr:row>
          <xdr:rowOff>9525</xdr:rowOff>
        </xdr:from>
        <xdr:to>
          <xdr:col>9</xdr:col>
          <xdr:colOff>19050</xdr:colOff>
          <xdr:row>17</xdr:row>
          <xdr:rowOff>9525</xdr:rowOff>
        </xdr:to>
        <xdr:sp macro="" textlink="">
          <xdr:nvSpPr>
            <xdr:cNvPr id="2066" name="PR_STATUS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38100</xdr:rowOff>
        </xdr:from>
        <xdr:to>
          <xdr:col>0</xdr:col>
          <xdr:colOff>514350</xdr:colOff>
          <xdr:row>1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0</xdr:row>
          <xdr:rowOff>38100</xdr:rowOff>
        </xdr:from>
        <xdr:to>
          <xdr:col>2</xdr:col>
          <xdr:colOff>0</xdr:colOff>
          <xdr:row>1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57150</xdr:rowOff>
        </xdr:from>
        <xdr:to>
          <xdr:col>0</xdr:col>
          <xdr:colOff>523875</xdr:colOff>
          <xdr:row>16</xdr:row>
          <xdr:rowOff>19050</xdr:rowOff>
        </xdr:to>
        <xdr:sp macro="" textlink="">
          <xdr:nvSpPr>
            <xdr:cNvPr id="3077" name="Object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133350</xdr:colOff>
          <xdr:row>7</xdr:row>
          <xdr:rowOff>0</xdr:rowOff>
        </xdr:from>
        <xdr:to>
          <xdr:col>59</xdr:col>
          <xdr:colOff>657225</xdr:colOff>
          <xdr:row>8</xdr:row>
          <xdr:rowOff>152400</xdr:rowOff>
        </xdr:to>
        <xdr:sp macro="" textlink="">
          <xdr:nvSpPr>
            <xdr:cNvPr id="3078" name="Object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133350</xdr:colOff>
          <xdr:row>7</xdr:row>
          <xdr:rowOff>0</xdr:rowOff>
        </xdr:from>
        <xdr:to>
          <xdr:col>69</xdr:col>
          <xdr:colOff>657225</xdr:colOff>
          <xdr:row>8</xdr:row>
          <xdr:rowOff>152400</xdr:rowOff>
        </xdr:to>
        <xdr:sp macro="" textlink="">
          <xdr:nvSpPr>
            <xdr:cNvPr id="3079" name="Object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133350</xdr:colOff>
          <xdr:row>7</xdr:row>
          <xdr:rowOff>0</xdr:rowOff>
        </xdr:from>
        <xdr:to>
          <xdr:col>80</xdr:col>
          <xdr:colOff>0</xdr:colOff>
          <xdr:row>8</xdr:row>
          <xdr:rowOff>152400</xdr:rowOff>
        </xdr:to>
        <xdr:sp macro="" textlink="">
          <xdr:nvSpPr>
            <xdr:cNvPr id="3080" name="Object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133350</xdr:colOff>
          <xdr:row>5</xdr:row>
          <xdr:rowOff>0</xdr:rowOff>
        </xdr:from>
        <xdr:to>
          <xdr:col>44</xdr:col>
          <xdr:colOff>0</xdr:colOff>
          <xdr:row>6</xdr:row>
          <xdr:rowOff>152400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38100</xdr:rowOff>
        </xdr:from>
        <xdr:to>
          <xdr:col>0</xdr:col>
          <xdr:colOff>514350</xdr:colOff>
          <xdr:row>1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0</xdr:row>
          <xdr:rowOff>38100</xdr:rowOff>
        </xdr:from>
        <xdr:to>
          <xdr:col>2</xdr:col>
          <xdr:colOff>0</xdr:colOff>
          <xdr:row>1</xdr:row>
          <xdr:rowOff>85725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133350</xdr:colOff>
          <xdr:row>0</xdr:row>
          <xdr:rowOff>0</xdr:rowOff>
        </xdr:from>
        <xdr:to>
          <xdr:col>55</xdr:col>
          <xdr:colOff>0</xdr:colOff>
          <xdr:row>1</xdr:row>
          <xdr:rowOff>152400</xdr:rowOff>
        </xdr:to>
        <xdr:sp macro="" textlink="">
          <xdr:nvSpPr>
            <xdr:cNvPr id="6148" name="Object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133350</xdr:colOff>
          <xdr:row>0</xdr:row>
          <xdr:rowOff>0</xdr:rowOff>
        </xdr:from>
        <xdr:to>
          <xdr:col>64</xdr:col>
          <xdr:colOff>0</xdr:colOff>
          <xdr:row>1</xdr:row>
          <xdr:rowOff>152400</xdr:rowOff>
        </xdr:to>
        <xdr:sp macro="" textlink="">
          <xdr:nvSpPr>
            <xdr:cNvPr id="6149" name="Object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133350</xdr:colOff>
          <xdr:row>0</xdr:row>
          <xdr:rowOff>0</xdr:rowOff>
        </xdr:from>
        <xdr:to>
          <xdr:col>73</xdr:col>
          <xdr:colOff>0</xdr:colOff>
          <xdr:row>1</xdr:row>
          <xdr:rowOff>152400</xdr:rowOff>
        </xdr:to>
        <xdr:sp macro="" textlink="">
          <xdr:nvSpPr>
            <xdr:cNvPr id="6150" name="Object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eet_k\AppData\Local\Temp\notes028593\Ameet%20Enjo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OVER"/>
      <sheetName val="PIPING"/>
      <sheetName val="CONTROL"/>
      <sheetName val="USERCONTROL"/>
      <sheetName val="MISC"/>
      <sheetName val="ADDON-INSUL"/>
      <sheetName val="SERVICE ACTIVITY"/>
      <sheetName val="CIVIL"/>
      <sheetName val="Ameet Enjoy"/>
    </sheetNames>
    <definedNames>
      <definedName name="deli"/>
      <definedName name="dragging1"/>
    </definedNames>
    <sheetDataSet>
      <sheetData sheetId="0"/>
      <sheetData sheetId="1"/>
      <sheetData sheetId="2">
        <row r="4">
          <cell r="B4" t="str">
            <v>Pipe</v>
          </cell>
          <cell r="D4"/>
          <cell r="E4"/>
          <cell r="F4">
            <v>0</v>
          </cell>
          <cell r="G4">
            <v>0</v>
          </cell>
          <cell r="I4">
            <v>2015</v>
          </cell>
          <cell r="K4" t="str">
            <v>20PC</v>
          </cell>
          <cell r="L4" t="str">
            <v>NIL</v>
          </cell>
          <cell r="M4" t="str">
            <v>Nil</v>
          </cell>
          <cell r="O4" t="str">
            <v>NIL</v>
          </cell>
          <cell r="P4" t="str">
            <v>NIL</v>
          </cell>
          <cell r="Q4" t="str">
            <v>STRESS RELIEVING OF PIPE 2.5" DIA&amp;ABOVE</v>
          </cell>
          <cell r="X4">
            <v>0</v>
          </cell>
          <cell r="Z4" t="e">
            <v>#N/A</v>
          </cell>
          <cell r="AA4" t="e">
            <v>#N/A</v>
          </cell>
        </row>
      </sheetData>
      <sheetData sheetId="3">
        <row r="1">
          <cell r="BT1">
            <v>1.4389758220867641</v>
          </cell>
          <cell r="BX1">
            <v>6</v>
          </cell>
        </row>
        <row r="2">
          <cell r="D2" t="str">
            <v>CS PIPE WELDING UPTO 12MM THICK-UPTO 4.5M</v>
          </cell>
          <cell r="E2">
            <v>254.49</v>
          </cell>
          <cell r="F2">
            <v>46.94</v>
          </cell>
          <cell r="H2" t="str">
            <v>Pipe</v>
          </cell>
          <cell r="I2" t="str">
            <v>CST</v>
          </cell>
          <cell r="L2">
            <v>0.13454779865615696</v>
          </cell>
          <cell r="P2">
            <v>0.20546999999999999</v>
          </cell>
          <cell r="R2" t="str">
            <v>0PC</v>
          </cell>
          <cell r="S2">
            <v>0</v>
          </cell>
          <cell r="T2" t="str">
            <v>NIL</v>
          </cell>
          <cell r="X2">
            <v>500</v>
          </cell>
          <cell r="Z2" t="str">
            <v>Y</v>
          </cell>
          <cell r="AA2" t="str">
            <v>NIL</v>
          </cell>
          <cell r="AD2" t="str">
            <v>NIL</v>
          </cell>
          <cell r="AG2" t="str">
            <v>NIL</v>
          </cell>
        </row>
        <row r="3">
          <cell r="D3" t="str">
            <v>CS PIPE WELDING  ABOVE 12MM THK-UPTO 4.5M</v>
          </cell>
          <cell r="E3">
            <v>330.63</v>
          </cell>
          <cell r="F3">
            <v>60.49</v>
          </cell>
          <cell r="H3" t="str">
            <v>Elbow</v>
          </cell>
          <cell r="I3" t="str">
            <v>VAT</v>
          </cell>
          <cell r="R3" t="str">
            <v>10PC</v>
          </cell>
          <cell r="S3">
            <v>0.1</v>
          </cell>
          <cell r="T3" t="str">
            <v>WOOL INSULATION OF 25 MM THK</v>
          </cell>
          <cell r="U3">
            <v>140</v>
          </cell>
          <cell r="Z3" t="str">
            <v>N</v>
          </cell>
          <cell r="AA3" t="str">
            <v>PREHEATING FOR PIPE THICKNESS UPTO 1"</v>
          </cell>
          <cell r="AC3">
            <v>45</v>
          </cell>
          <cell r="AD3" t="str">
            <v>POST HEATING FOR PIPE THICKNESS UPTO 1"</v>
          </cell>
          <cell r="AF3">
            <v>45</v>
          </cell>
          <cell r="AG3" t="str">
            <v>STRESS RELIEVING OF PIPE UPTO 2" DIA</v>
          </cell>
          <cell r="AI3">
            <v>100</v>
          </cell>
          <cell r="BE3">
            <v>35</v>
          </cell>
        </row>
        <row r="4">
          <cell r="D4" t="str">
            <v>CS PIPE WELDING  ABOVE 18MM THK-UPTO 4.5M</v>
          </cell>
          <cell r="E4">
            <v>441.19</v>
          </cell>
          <cell r="F4">
            <v>85.53</v>
          </cell>
          <cell r="H4" t="str">
            <v>Tee</v>
          </cell>
          <cell r="R4" t="str">
            <v>20PC</v>
          </cell>
          <cell r="S4">
            <v>0.2</v>
          </cell>
          <cell r="T4" t="str">
            <v>WOOL INSULATION OF 40 MM THK</v>
          </cell>
          <cell r="U4">
            <v>150</v>
          </cell>
          <cell r="X4">
            <v>65</v>
          </cell>
          <cell r="AA4" t="str">
            <v>PREHEATING FOR PIPE THICKNESS ABOVE 1"</v>
          </cell>
          <cell r="AC4">
            <v>45</v>
          </cell>
          <cell r="AD4" t="str">
            <v>POST HEATING FOR PIPE THICKNESS ABOVE 1"</v>
          </cell>
          <cell r="AF4">
            <v>45</v>
          </cell>
          <cell r="AG4" t="str">
            <v>STRESS RELIEVING OF PIPE 2.5" DIA&amp;ABOVE</v>
          </cell>
          <cell r="AI4">
            <v>87</v>
          </cell>
          <cell r="AM4" t="str">
            <v>ExternalUninsulated Pipe/Equip/-14- to 80C</v>
          </cell>
          <cell r="BB4">
            <v>224.85</v>
          </cell>
        </row>
        <row r="5">
          <cell r="D5" t="str">
            <v>CS IBR PIPE WELDING UPTO 12MM THK-UPTO 4.5M</v>
          </cell>
          <cell r="E5">
            <v>452.66</v>
          </cell>
          <cell r="F5">
            <v>54.24</v>
          </cell>
          <cell r="H5" t="str">
            <v>Reducer</v>
          </cell>
          <cell r="R5" t="str">
            <v>100PC</v>
          </cell>
          <cell r="S5">
            <v>1</v>
          </cell>
          <cell r="T5" t="str">
            <v>WOOL INSULATION OF 50 MM THK</v>
          </cell>
          <cell r="U5">
            <v>350</v>
          </cell>
          <cell r="AM5" t="str">
            <v>ExternalUninsulated Pipe/Equip/80 to 150C</v>
          </cell>
          <cell r="BB5">
            <v>293.85000000000002</v>
          </cell>
        </row>
        <row r="6">
          <cell r="D6" t="str">
            <v>CS IBR PIPE WELDING  ABOVE 12MM THK-UPTO 4.5M</v>
          </cell>
          <cell r="E6">
            <v>754.09</v>
          </cell>
          <cell r="F6">
            <v>69.88</v>
          </cell>
          <cell r="H6" t="str">
            <v>Flange</v>
          </cell>
          <cell r="T6" t="str">
            <v>WOOL INSULATION OF 65 MM THK</v>
          </cell>
          <cell r="U6">
            <v>280</v>
          </cell>
          <cell r="X6">
            <v>1390</v>
          </cell>
          <cell r="AM6" t="str">
            <v>ExternalInsulated Pipe/Equip CS/AS/-45to150C</v>
          </cell>
          <cell r="BB6">
            <v>550.35</v>
          </cell>
        </row>
        <row r="7">
          <cell r="D7" t="str">
            <v>SS PIPE WELDING UPTO 6MM THK-UPTO 4.5M</v>
          </cell>
          <cell r="E7">
            <v>400</v>
          </cell>
          <cell r="F7">
            <v>65</v>
          </cell>
          <cell r="H7" t="str">
            <v>Blind Flange</v>
          </cell>
          <cell r="T7" t="str">
            <v>WOOL INSULATION OF 75 MM THK</v>
          </cell>
          <cell r="U7">
            <v>450</v>
          </cell>
          <cell r="AM7" t="str">
            <v>ExternalInsulated/Uninsulated CS/AS /Above 150C</v>
          </cell>
          <cell r="BB7">
            <v>340.35</v>
          </cell>
        </row>
        <row r="8">
          <cell r="D8" t="str">
            <v>SS PIPE WELDING ABOVE 6MM THK-UPTO 4.5M</v>
          </cell>
          <cell r="E8">
            <v>400</v>
          </cell>
          <cell r="F8">
            <v>65</v>
          </cell>
          <cell r="H8" t="str">
            <v>Valve</v>
          </cell>
          <cell r="T8" t="str">
            <v>WOOL INSULATION OF 80 MM THK</v>
          </cell>
          <cell r="U8">
            <v>400</v>
          </cell>
          <cell r="AM8" t="str">
            <v>ExternalJetty Lines/</v>
          </cell>
          <cell r="BB8">
            <v>498.85</v>
          </cell>
        </row>
        <row r="9">
          <cell r="D9" t="str">
            <v>ALLOY STEEL PIPING UPTO 12MM THICK-UPTO 4.5M</v>
          </cell>
          <cell r="E9">
            <v>1075</v>
          </cell>
          <cell r="F9">
            <v>65</v>
          </cell>
          <cell r="H9" t="str">
            <v>Other Fitting</v>
          </cell>
          <cell r="T9" t="str">
            <v>WOOL INSULATION OF100 MM THK</v>
          </cell>
          <cell r="U9">
            <v>600</v>
          </cell>
          <cell r="AM9" t="str">
            <v>Nil with Surface Prep</v>
          </cell>
          <cell r="BB9">
            <v>40.349999999999994</v>
          </cell>
        </row>
        <row r="10">
          <cell r="D10" t="str">
            <v>ALLOY STEEL PIPING ABOVE 12MM THICK-UPTO 4.5M</v>
          </cell>
          <cell r="E10">
            <v>1175</v>
          </cell>
          <cell r="F10">
            <v>65</v>
          </cell>
          <cell r="H10" t="str">
            <v>Steam Trap</v>
          </cell>
          <cell r="T10" t="str">
            <v>WOOL INSULATION OF115 MM THK</v>
          </cell>
          <cell r="U10">
            <v>535</v>
          </cell>
          <cell r="AM10" t="str">
            <v>Nil</v>
          </cell>
          <cell r="BB10">
            <v>0</v>
          </cell>
        </row>
        <row r="11">
          <cell r="D11" t="str">
            <v>CS PIPE WELDING UPTO 12MM THICK-ABOVE 4.5M</v>
          </cell>
          <cell r="E11">
            <v>286.83</v>
          </cell>
          <cell r="F11">
            <v>56.32</v>
          </cell>
          <cell r="H11" t="str">
            <v>Others</v>
          </cell>
          <cell r="T11" t="str">
            <v>WOOL INSULATION OF130 MM THK</v>
          </cell>
          <cell r="U11">
            <v>570</v>
          </cell>
        </row>
        <row r="12">
          <cell r="D12" t="str">
            <v>CS PIPE WELDING  ABOVE 12MM THK-ABOVE 4.5M</v>
          </cell>
          <cell r="E12">
            <v>362.96</v>
          </cell>
          <cell r="F12">
            <v>73.010000000000005</v>
          </cell>
          <cell r="T12" t="str">
            <v>WOOL INSULATION OF140 MM THK</v>
          </cell>
          <cell r="U12">
            <v>580</v>
          </cell>
        </row>
        <row r="13">
          <cell r="D13" t="str">
            <v>CS PIPE WELDING  ABOVE 18MM THK-ABOVE 4.5M</v>
          </cell>
          <cell r="E13">
            <v>473.52</v>
          </cell>
          <cell r="F13">
            <v>102.21</v>
          </cell>
          <cell r="T13" t="str">
            <v>WOOL INSULATION OF150 MM THK</v>
          </cell>
          <cell r="U13">
            <v>585</v>
          </cell>
        </row>
        <row r="14">
          <cell r="D14" t="str">
            <v>CS IBR PIPE WELDING UPTO 12MM THK-ABOVE 4.5M</v>
          </cell>
          <cell r="E14">
            <v>500.64</v>
          </cell>
          <cell r="F14">
            <v>64.67</v>
          </cell>
          <cell r="T14" t="str">
            <v>WOOL INSULATION OF195 MM THK</v>
          </cell>
          <cell r="U14">
            <v>720</v>
          </cell>
        </row>
        <row r="15">
          <cell r="D15" t="str">
            <v>CS IBR PIPE WELDING  ABOVE 12MM THK-ABOVE 4.5M</v>
          </cell>
          <cell r="E15">
            <v>802.07</v>
          </cell>
          <cell r="F15">
            <v>83.44</v>
          </cell>
          <cell r="T15" t="str">
            <v xml:space="preserve">WOOL INSULATION' OF 200MM THK </v>
          </cell>
          <cell r="U15">
            <v>750</v>
          </cell>
        </row>
        <row r="16">
          <cell r="D16" t="str">
            <v>SS PIPE WELDING UPTO 6MM THK-ABOVE 4.5M</v>
          </cell>
          <cell r="E16">
            <v>400</v>
          </cell>
          <cell r="F16">
            <v>65</v>
          </cell>
          <cell r="T16" t="str">
            <v>WOOL INSULATION OF205 MM THK</v>
          </cell>
          <cell r="U16">
            <v>750</v>
          </cell>
        </row>
        <row r="17">
          <cell r="D17" t="str">
            <v>SS PIPE WELDING ABOVE 6MM THK-ABOVE 4.5M</v>
          </cell>
          <cell r="E17">
            <v>400</v>
          </cell>
          <cell r="F17">
            <v>65</v>
          </cell>
          <cell r="T17" t="str">
            <v>WOOL INSULATION OF210 MM THK</v>
          </cell>
          <cell r="U17">
            <v>750</v>
          </cell>
        </row>
        <row r="18">
          <cell r="D18" t="str">
            <v>ALLOY STEEL PIPING UPTO 12MM THICK-ABOVE 4.5M</v>
          </cell>
          <cell r="E18">
            <v>1075</v>
          </cell>
          <cell r="F18">
            <v>65</v>
          </cell>
          <cell r="T18" t="str">
            <v>PUFF INSULATION  25 MM THK</v>
          </cell>
          <cell r="U18">
            <v>140</v>
          </cell>
        </row>
        <row r="19">
          <cell r="D19" t="str">
            <v>ALLOY STEEL PIPING ABOVE 12MM THICK-ABOVE 4.5M</v>
          </cell>
          <cell r="E19">
            <v>1175</v>
          </cell>
          <cell r="F19">
            <v>65</v>
          </cell>
          <cell r="T19" t="str">
            <v>PUFF INSULATION  40MM</v>
          </cell>
          <cell r="U19">
            <v>150</v>
          </cell>
        </row>
        <row r="20">
          <cell r="T20" t="str">
            <v>PUFF INSULATION  50MM</v>
          </cell>
          <cell r="U20">
            <v>340</v>
          </cell>
        </row>
        <row r="21">
          <cell r="D21"/>
          <cell r="T21" t="str">
            <v>PUFF INSULATION  65MM</v>
          </cell>
          <cell r="U21">
            <v>340</v>
          </cell>
        </row>
        <row r="22">
          <cell r="T22" t="str">
            <v>PUFF INSULATION  75MM</v>
          </cell>
          <cell r="U22">
            <v>440</v>
          </cell>
        </row>
        <row r="23">
          <cell r="D23"/>
          <cell r="T23" t="str">
            <v>PUFF INSULATION  80MM</v>
          </cell>
          <cell r="U23">
            <v>445</v>
          </cell>
        </row>
        <row r="24">
          <cell r="T24" t="str">
            <v>PUFF INSULATION  100MM</v>
          </cell>
          <cell r="U24">
            <v>560</v>
          </cell>
        </row>
        <row r="25">
          <cell r="D25"/>
          <cell r="T25" t="str">
            <v>PUFF INSULATION  115MM</v>
          </cell>
          <cell r="U25">
            <v>565</v>
          </cell>
        </row>
        <row r="26">
          <cell r="T26" t="str">
            <v>PUFF INSULATION  130MM</v>
          </cell>
          <cell r="U26">
            <v>570</v>
          </cell>
        </row>
        <row r="27">
          <cell r="D27"/>
          <cell r="T27" t="str">
            <v>PUFF INSULATION  140MM</v>
          </cell>
          <cell r="U27">
            <v>600</v>
          </cell>
        </row>
        <row r="28">
          <cell r="T28" t="str">
            <v>PUFF INSULATION  150MM</v>
          </cell>
          <cell r="U28">
            <v>610</v>
          </cell>
        </row>
        <row r="29">
          <cell r="T29" t="str">
            <v>PUFF INSULATION  195MM</v>
          </cell>
          <cell r="U29">
            <v>730</v>
          </cell>
        </row>
        <row r="30">
          <cell r="T30" t="str">
            <v>PUFF INSULATION  205MM</v>
          </cell>
          <cell r="U30">
            <v>900</v>
          </cell>
        </row>
        <row r="31">
          <cell r="T31" t="str">
            <v>PUFF INSULATION  210MM</v>
          </cell>
          <cell r="U31">
            <v>900</v>
          </cell>
        </row>
        <row r="32">
          <cell r="U32"/>
        </row>
        <row r="33">
          <cell r="D33"/>
          <cell r="U33"/>
        </row>
        <row r="34">
          <cell r="U34"/>
        </row>
        <row r="35">
          <cell r="D35"/>
        </row>
        <row r="37">
          <cell r="D37"/>
        </row>
      </sheetData>
      <sheetData sheetId="4">
        <row r="2">
          <cell r="B2">
            <v>2016</v>
          </cell>
          <cell r="I2">
            <v>18</v>
          </cell>
        </row>
        <row r="3">
          <cell r="B3">
            <v>1.1000000000000001</v>
          </cell>
          <cell r="I3">
            <v>1400</v>
          </cell>
        </row>
        <row r="4">
          <cell r="B4">
            <v>1</v>
          </cell>
          <cell r="I4">
            <v>3</v>
          </cell>
        </row>
        <row r="5">
          <cell r="B5">
            <v>1</v>
          </cell>
        </row>
        <row r="6">
          <cell r="B6">
            <v>1</v>
          </cell>
        </row>
        <row r="7">
          <cell r="B7">
            <v>1</v>
          </cell>
        </row>
        <row r="9">
          <cell r="B9">
            <v>1</v>
          </cell>
        </row>
        <row r="11">
          <cell r="B11">
            <v>1.1000000000000001</v>
          </cell>
        </row>
        <row r="12">
          <cell r="B12">
            <v>0.15</v>
          </cell>
        </row>
        <row r="13">
          <cell r="B13">
            <v>12</v>
          </cell>
        </row>
      </sheetData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pex">
      <a:fillStyleLst>
        <a:solidFill>
          <a:schemeClr val="phClr"/>
        </a:solidFill>
        <a:gradFill rotWithShape="1">
          <a:gsLst>
            <a:gs pos="20000">
              <a:schemeClr val="phClr">
                <a:tint val="9000"/>
              </a:schemeClr>
            </a:gs>
            <a:gs pos="100000">
              <a:schemeClr val="phClr">
                <a:tint val="70000"/>
                <a:satMod val="100000"/>
              </a:schemeClr>
            </a:gs>
          </a:gsLst>
          <a:path path="circle">
            <a:fillToRect l="-15000" t="-15000" r="115000" b="115000"/>
          </a:path>
        </a:gradFill>
        <a:gradFill rotWithShape="1">
          <a:gsLst>
            <a:gs pos="0">
              <a:schemeClr val="phClr">
                <a:shade val="60000"/>
              </a:schemeClr>
            </a:gs>
            <a:gs pos="33000">
              <a:schemeClr val="phClr">
                <a:tint val="86500"/>
              </a:schemeClr>
            </a:gs>
            <a:gs pos="46750">
              <a:schemeClr val="phClr">
                <a:tint val="71000"/>
                <a:satMod val="112000"/>
              </a:schemeClr>
            </a:gs>
            <a:gs pos="53000">
              <a:schemeClr val="phClr">
                <a:tint val="71000"/>
                <a:satMod val="112000"/>
              </a:schemeClr>
            </a:gs>
            <a:gs pos="68000">
              <a:schemeClr val="phClr">
                <a:tint val="86000"/>
              </a:schemeClr>
            </a:gs>
            <a:gs pos="100000">
              <a:schemeClr val="phClr">
                <a:shade val="60000"/>
              </a:schemeClr>
            </a:gs>
          </a:gsLst>
          <a:lin ang="8350000" scaled="1"/>
        </a:gradFill>
      </a:fillStyleLst>
      <a:lnStyleLst>
        <a:ln w="9525" cap="flat" cmpd="sng" algn="ctr">
          <a:solidFill>
            <a:schemeClr val="phClr">
              <a:shade val="48000"/>
              <a:satMod val="11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130000" dist="101600" dir="2700000" algn="tl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190500" dist="228600" dir="2700000" sy="90000" rotWithShape="0">
              <a:srgbClr val="000000">
                <a:alpha val="25500"/>
              </a:srgbClr>
            </a:outerShdw>
          </a:effectLst>
        </a:effectStyle>
        <a:effectStyle>
          <a:effectLst>
            <a:outerShdw blurRad="190500" dist="228600" dir="2700000" sy="90000" rotWithShape="0">
              <a:srgbClr val="000000">
                <a:alpha val="25500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100000"/>
            </a:lightRig>
          </a:scene3d>
          <a:sp3d>
            <a:bevelT w="508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ctrlProp" Target="../ctrlProps/ctrlProp2.xml"/><Relationship Id="rId5" Type="http://schemas.openxmlformats.org/officeDocument/2006/relationships/image" Target="../media/image10.png"/><Relationship Id="rId10" Type="http://schemas.openxmlformats.org/officeDocument/2006/relationships/ctrlProp" Target="../ctrlProps/ctrlProp1.xml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1.emf"/><Relationship Id="rId4" Type="http://schemas.openxmlformats.org/officeDocument/2006/relationships/oleObject" Target="../embeddings/oleObject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4.vml"/><Relationship Id="rId7" Type="http://schemas.openxmlformats.org/officeDocument/2006/relationships/oleObject" Target="../embeddings/oleObject8.bin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7.bin"/><Relationship Id="rId5" Type="http://schemas.openxmlformats.org/officeDocument/2006/relationships/image" Target="../media/image11.emf"/><Relationship Id="rId10" Type="http://schemas.openxmlformats.org/officeDocument/2006/relationships/comments" Target="../comments2.xml"/><Relationship Id="rId4" Type="http://schemas.openxmlformats.org/officeDocument/2006/relationships/oleObject" Target="../embeddings/oleObject6.bin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low_chart"/>
  <dimension ref="B85:BA159"/>
  <sheetViews>
    <sheetView topLeftCell="A69" zoomScaleNormal="100" workbookViewId="0">
      <selection activeCell="I88" sqref="I88"/>
    </sheetView>
  </sheetViews>
  <sheetFormatPr defaultRowHeight="15" x14ac:dyDescent="0.25"/>
  <cols>
    <col min="11" max="11" width="11.140625" bestFit="1" customWidth="1"/>
  </cols>
  <sheetData>
    <row r="85" spans="2:5" x14ac:dyDescent="0.25">
      <c r="B85" s="1" t="s">
        <v>0</v>
      </c>
      <c r="E85" s="1" t="s">
        <v>1</v>
      </c>
    </row>
    <row r="91" spans="2:5" s="2" customFormat="1" x14ac:dyDescent="0.25"/>
    <row r="92" spans="2:5" s="2" customFormat="1" x14ac:dyDescent="0.25"/>
    <row r="93" spans="2:5" s="2" customFormat="1" x14ac:dyDescent="0.25"/>
    <row r="94" spans="2:5" s="2" customFormat="1" x14ac:dyDescent="0.25"/>
    <row r="111" spans="11:11" x14ac:dyDescent="0.25">
      <c r="K111" s="6">
        <v>0</v>
      </c>
    </row>
    <row r="133" spans="52:53" x14ac:dyDescent="0.25">
      <c r="AZ133" t="s">
        <v>1</v>
      </c>
    </row>
    <row r="137" spans="52:53" x14ac:dyDescent="0.25">
      <c r="BA137" t="s">
        <v>0</v>
      </c>
    </row>
    <row r="154" spans="45:47" x14ac:dyDescent="0.25">
      <c r="AU154" t="s">
        <v>1</v>
      </c>
    </row>
    <row r="159" spans="45:47" x14ac:dyDescent="0.25">
      <c r="AS159" t="s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RONT_SHEET"/>
  <dimension ref="A1:J22"/>
  <sheetViews>
    <sheetView view="pageBreakPreview" zoomScale="130" zoomScaleNormal="100" zoomScaleSheetLayoutView="130" workbookViewId="0">
      <selection activeCell="D40" sqref="D40"/>
    </sheetView>
  </sheetViews>
  <sheetFormatPr defaultRowHeight="15" x14ac:dyDescent="0.25"/>
  <sheetData>
    <row r="1" spans="1:10" x14ac:dyDescent="0.25">
      <c r="A1" s="4"/>
      <c r="B1" s="4"/>
      <c r="C1" s="4"/>
      <c r="D1" s="4"/>
      <c r="E1" s="4"/>
      <c r="F1" s="4"/>
      <c r="G1" s="4"/>
      <c r="H1" s="4"/>
      <c r="I1" s="4"/>
      <c r="J1" s="4"/>
    </row>
    <row r="2" spans="1:10" x14ac:dyDescent="0.25">
      <c r="A2" s="4"/>
      <c r="B2" s="4"/>
      <c r="C2" s="4"/>
      <c r="D2" s="4"/>
      <c r="E2" s="4"/>
      <c r="F2" s="4"/>
      <c r="G2" s="4"/>
      <c r="H2" s="4"/>
      <c r="I2" s="4"/>
      <c r="J2" s="4"/>
    </row>
    <row r="3" spans="1:10" x14ac:dyDescent="0.25">
      <c r="A3" s="4"/>
      <c r="B3" s="4"/>
      <c r="C3" s="4"/>
      <c r="D3" s="4"/>
      <c r="E3" s="4"/>
      <c r="F3" s="4"/>
      <c r="G3" s="4"/>
      <c r="H3" s="4"/>
      <c r="I3" s="4"/>
      <c r="J3" s="4"/>
    </row>
    <row r="4" spans="1:10" x14ac:dyDescent="0.25">
      <c r="A4" s="4"/>
      <c r="B4" s="4"/>
      <c r="C4" s="4"/>
      <c r="D4" s="4"/>
      <c r="E4" s="4"/>
      <c r="F4" s="4"/>
      <c r="G4" s="4"/>
      <c r="H4" s="4"/>
      <c r="I4" s="4"/>
      <c r="J4" s="4"/>
    </row>
    <row r="5" spans="1:10" x14ac:dyDescent="0.25">
      <c r="A5" s="4"/>
      <c r="B5" s="4"/>
      <c r="C5" s="4"/>
      <c r="D5" s="4"/>
      <c r="E5" s="4"/>
      <c r="F5" s="4"/>
      <c r="G5" s="4"/>
      <c r="H5" s="4"/>
      <c r="I5" s="4"/>
      <c r="J5" s="4"/>
    </row>
    <row r="6" spans="1:10" x14ac:dyDescent="0.25">
      <c r="A6" s="4"/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4"/>
      <c r="C7" s="4"/>
      <c r="D7" s="4"/>
      <c r="E7" s="4"/>
      <c r="F7" s="4"/>
      <c r="G7" s="4"/>
      <c r="H7" s="4"/>
      <c r="I7" s="4"/>
      <c r="J7" s="4"/>
    </row>
    <row r="8" spans="1:10" x14ac:dyDescent="0.25">
      <c r="A8" s="4"/>
      <c r="B8" s="4"/>
      <c r="C8" s="4"/>
      <c r="D8" s="4"/>
      <c r="E8" s="4"/>
      <c r="F8" s="4"/>
      <c r="G8" s="4"/>
      <c r="H8" s="4"/>
      <c r="I8" s="4"/>
      <c r="J8" s="4"/>
    </row>
    <row r="9" spans="1:10" x14ac:dyDescent="0.25">
      <c r="A9" s="4"/>
      <c r="B9" s="4"/>
      <c r="C9" s="4"/>
      <c r="D9" s="4"/>
      <c r="E9" s="4"/>
      <c r="F9" s="4"/>
      <c r="G9" s="4"/>
      <c r="H9" s="4"/>
      <c r="I9" s="4"/>
      <c r="J9" s="4"/>
    </row>
    <row r="10" spans="1:10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</row>
  </sheetData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66" r:id="rId4" name="PR_STATUS">
          <controlPr defaultSize="0" autoFill="0" autoLine="0" r:id="rId5">
            <anchor moveWithCells="1">
              <from>
                <xdr:col>7</xdr:col>
                <xdr:colOff>28575</xdr:colOff>
                <xdr:row>14</xdr:row>
                <xdr:rowOff>9525</xdr:rowOff>
              </from>
              <to>
                <xdr:col>9</xdr:col>
                <xdr:colOff>19050</xdr:colOff>
                <xdr:row>17</xdr:row>
                <xdr:rowOff>9525</xdr:rowOff>
              </to>
            </anchor>
          </controlPr>
        </control>
      </mc:Choice>
      <mc:Fallback>
        <control shapeId="2066" r:id="rId4" name="PR_STATUS"/>
      </mc:Fallback>
    </mc:AlternateContent>
    <mc:AlternateContent xmlns:mc="http://schemas.openxmlformats.org/markup-compatibility/2006">
      <mc:Choice Requires="x14">
        <control shapeId="2065" r:id="rId6" name="PR_UPDATE">
          <controlPr defaultSize="0" autoFill="0" autoLine="0" r:id="rId7">
            <anchor moveWithCells="1">
              <from>
                <xdr:col>7</xdr:col>
                <xdr:colOff>38100</xdr:colOff>
                <xdr:row>8</xdr:row>
                <xdr:rowOff>19050</xdr:rowOff>
              </from>
              <to>
                <xdr:col>9</xdr:col>
                <xdr:colOff>19050</xdr:colOff>
                <xdr:row>10</xdr:row>
                <xdr:rowOff>180975</xdr:rowOff>
              </to>
            </anchor>
          </controlPr>
        </control>
      </mc:Choice>
      <mc:Fallback>
        <control shapeId="2065" r:id="rId6" name="PR_UPDATE"/>
      </mc:Fallback>
    </mc:AlternateContent>
    <mc:AlternateContent xmlns:mc="http://schemas.openxmlformats.org/markup-compatibility/2006">
      <mc:Choice Requires="x14">
        <control shapeId="2064" r:id="rId8" name="PR_ENTRY">
          <controlPr defaultSize="0" autoFill="0" autoLine="0" r:id="rId9">
            <anchor moveWithCells="1">
              <from>
                <xdr:col>7</xdr:col>
                <xdr:colOff>19050</xdr:colOff>
                <xdr:row>2</xdr:row>
                <xdr:rowOff>9525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2064" r:id="rId8" name="PR_ENTRY"/>
      </mc:Fallback>
    </mc:AlternateContent>
    <mc:AlternateContent xmlns:mc="http://schemas.openxmlformats.org/markup-compatibility/2006">
      <mc:Choice Requires="x14">
        <control shapeId="2063" r:id="rId10" name="EESTATUS">
          <controlPr defaultSize="0" autoFill="0" autoLine="0" r:id="rId11">
            <anchor moveWithCells="1">
              <from>
                <xdr:col>4</xdr:col>
                <xdr:colOff>19050</xdr:colOff>
                <xdr:row>14</xdr:row>
                <xdr:rowOff>9525</xdr:rowOff>
              </from>
              <to>
                <xdr:col>6</xdr:col>
                <xdr:colOff>9525</xdr:colOff>
                <xdr:row>17</xdr:row>
                <xdr:rowOff>9525</xdr:rowOff>
              </to>
            </anchor>
          </controlPr>
        </control>
      </mc:Choice>
      <mc:Fallback>
        <control shapeId="2063" r:id="rId10" name="EESTATUS"/>
      </mc:Fallback>
    </mc:AlternateContent>
    <mc:AlternateContent xmlns:mc="http://schemas.openxmlformats.org/markup-compatibility/2006">
      <mc:Choice Requires="x14">
        <control shapeId="2062" r:id="rId12" name="EEUPDATE">
          <controlPr defaultSize="0" autoFill="0" autoLine="0" r:id="rId13">
            <anchor moveWithCells="1">
              <from>
                <xdr:col>4</xdr:col>
                <xdr:colOff>28575</xdr:colOff>
                <xdr:row>8</xdr:row>
                <xdr:rowOff>19050</xdr:rowOff>
              </from>
              <to>
                <xdr:col>6</xdr:col>
                <xdr:colOff>9525</xdr:colOff>
                <xdr:row>10</xdr:row>
                <xdr:rowOff>180975</xdr:rowOff>
              </to>
            </anchor>
          </controlPr>
        </control>
      </mc:Choice>
      <mc:Fallback>
        <control shapeId="2062" r:id="rId12" name="EEUPDATE"/>
      </mc:Fallback>
    </mc:AlternateContent>
    <mc:AlternateContent xmlns:mc="http://schemas.openxmlformats.org/markup-compatibility/2006">
      <mc:Choice Requires="x14">
        <control shapeId="2061" r:id="rId14" name="EEENTRY">
          <controlPr defaultSize="0" autoFill="0" autoLine="0" r:id="rId15">
            <anchor moveWithCells="1">
              <from>
                <xdr:col>4</xdr:col>
                <xdr:colOff>9525</xdr:colOff>
                <xdr:row>2</xdr:row>
                <xdr:rowOff>9525</xdr:rowOff>
              </from>
              <to>
                <xdr:col>5</xdr:col>
                <xdr:colOff>600075</xdr:colOff>
                <xdr:row>5</xdr:row>
                <xdr:rowOff>0</xdr:rowOff>
              </to>
            </anchor>
          </controlPr>
        </control>
      </mc:Choice>
      <mc:Fallback>
        <control shapeId="2061" r:id="rId14" name="EEENTRY"/>
      </mc:Fallback>
    </mc:AlternateContent>
    <mc:AlternateContent xmlns:mc="http://schemas.openxmlformats.org/markup-compatibility/2006">
      <mc:Choice Requires="x14">
        <control shapeId="2060" r:id="rId16" name="CESTATUS">
          <controlPr defaultSize="0" autoFill="0" autoLine="0" r:id="rId17">
            <anchor moveWithCells="1">
              <from>
                <xdr:col>1</xdr:col>
                <xdr:colOff>9525</xdr:colOff>
                <xdr:row>14</xdr:row>
                <xdr:rowOff>9525</xdr:rowOff>
              </from>
              <to>
                <xdr:col>3</xdr:col>
                <xdr:colOff>0</xdr:colOff>
                <xdr:row>17</xdr:row>
                <xdr:rowOff>9525</xdr:rowOff>
              </to>
            </anchor>
          </controlPr>
        </control>
      </mc:Choice>
      <mc:Fallback>
        <control shapeId="2060" r:id="rId16" name="CESTATUS"/>
      </mc:Fallback>
    </mc:AlternateContent>
    <mc:AlternateContent xmlns:mc="http://schemas.openxmlformats.org/markup-compatibility/2006">
      <mc:Choice Requires="x14">
        <control shapeId="2059" r:id="rId18" name="CEUPDATE">
          <controlPr defaultSize="0" autoFill="0" autoLine="0" r:id="rId19">
            <anchor moveWithCells="1">
              <from>
                <xdr:col>1</xdr:col>
                <xdr:colOff>19050</xdr:colOff>
                <xdr:row>8</xdr:row>
                <xdr:rowOff>19050</xdr:rowOff>
              </from>
              <to>
                <xdr:col>3</xdr:col>
                <xdr:colOff>0</xdr:colOff>
                <xdr:row>10</xdr:row>
                <xdr:rowOff>180975</xdr:rowOff>
              </to>
            </anchor>
          </controlPr>
        </control>
      </mc:Choice>
      <mc:Fallback>
        <control shapeId="2059" r:id="rId18" name="CEUPDATE"/>
      </mc:Fallback>
    </mc:AlternateContent>
    <mc:AlternateContent xmlns:mc="http://schemas.openxmlformats.org/markup-compatibility/2006">
      <mc:Choice Requires="x14">
        <control shapeId="2058" r:id="rId20" name="CEENTRY">
          <controlPr defaultSize="0" autoFill="0" autoLine="0" r:id="rId21">
            <anchor moveWithCells="1">
              <from>
                <xdr:col>1</xdr:col>
                <xdr:colOff>0</xdr:colOff>
                <xdr:row>2</xdr:row>
                <xdr:rowOff>9525</xdr:rowOff>
              </from>
              <to>
                <xdr:col>2</xdr:col>
                <xdr:colOff>600075</xdr:colOff>
                <xdr:row>5</xdr:row>
                <xdr:rowOff>0</xdr:rowOff>
              </to>
            </anchor>
          </controlPr>
        </control>
      </mc:Choice>
      <mc:Fallback>
        <control shapeId="2058" r:id="rId20" name="CEENTR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E_MASTER_DATA"/>
  <dimension ref="A1:M1"/>
  <sheetViews>
    <sheetView tabSelected="1" workbookViewId="0">
      <selection activeCell="H13" sqref="H13"/>
    </sheetView>
  </sheetViews>
  <sheetFormatPr defaultRowHeight="15" x14ac:dyDescent="0.25"/>
  <cols>
    <col min="3" max="3" width="10.7109375" bestFit="1" customWidth="1"/>
    <col min="4" max="4" width="12.7109375" bestFit="1" customWidth="1"/>
    <col min="13" max="13" width="14.5703125" bestFit="1" customWidth="1"/>
  </cols>
  <sheetData>
    <row r="1" spans="1:13" ht="30" x14ac:dyDescent="0.25">
      <c r="A1" s="74" t="s">
        <v>246</v>
      </c>
      <c r="B1" s="75" t="s">
        <v>252</v>
      </c>
      <c r="C1" s="76" t="s">
        <v>253</v>
      </c>
      <c r="D1" s="74" t="s">
        <v>254</v>
      </c>
      <c r="E1" s="80" t="s">
        <v>255</v>
      </c>
      <c r="F1" s="77" t="s">
        <v>256</v>
      </c>
      <c r="G1" s="77" t="s">
        <v>257</v>
      </c>
      <c r="H1" s="77"/>
      <c r="I1" s="78" t="s">
        <v>258</v>
      </c>
      <c r="J1" s="74" t="s">
        <v>256</v>
      </c>
      <c r="K1" s="74" t="s">
        <v>257</v>
      </c>
      <c r="L1" s="79" t="s">
        <v>259</v>
      </c>
      <c r="M1" s="75" t="s">
        <v>260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2"/>
  <sheetViews>
    <sheetView topLeftCell="A13" workbookViewId="0">
      <selection activeCell="B44" sqref="B44"/>
    </sheetView>
  </sheetViews>
  <sheetFormatPr defaultRowHeight="15" x14ac:dyDescent="0.25"/>
  <cols>
    <col min="2" max="2" width="24.140625" bestFit="1" customWidth="1"/>
  </cols>
  <sheetData>
    <row r="1" spans="1:3" x14ac:dyDescent="0.25">
      <c r="A1" t="s">
        <v>261</v>
      </c>
    </row>
    <row r="5" spans="1:3" x14ac:dyDescent="0.25">
      <c r="B5" t="s">
        <v>262</v>
      </c>
      <c r="C5" t="s">
        <v>289</v>
      </c>
    </row>
    <row r="6" spans="1:3" x14ac:dyDescent="0.25">
      <c r="B6" t="s">
        <v>263</v>
      </c>
      <c r="C6" t="s">
        <v>289</v>
      </c>
    </row>
    <row r="7" spans="1:3" x14ac:dyDescent="0.25">
      <c r="B7" t="s">
        <v>252</v>
      </c>
      <c r="C7" t="s">
        <v>289</v>
      </c>
    </row>
    <row r="8" spans="1:3" x14ac:dyDescent="0.25">
      <c r="B8" t="s">
        <v>264</v>
      </c>
      <c r="C8" t="s">
        <v>290</v>
      </c>
    </row>
    <row r="9" spans="1:3" x14ac:dyDescent="0.25">
      <c r="B9" t="s">
        <v>265</v>
      </c>
      <c r="C9" t="s">
        <v>289</v>
      </c>
    </row>
    <row r="10" spans="1:3" x14ac:dyDescent="0.25">
      <c r="B10" t="s">
        <v>266</v>
      </c>
      <c r="C10" t="s">
        <v>290</v>
      </c>
    </row>
    <row r="11" spans="1:3" x14ac:dyDescent="0.25">
      <c r="B11" t="s">
        <v>267</v>
      </c>
      <c r="C11" t="s">
        <v>290</v>
      </c>
    </row>
    <row r="12" spans="1:3" x14ac:dyDescent="0.25">
      <c r="B12" t="s">
        <v>268</v>
      </c>
      <c r="C12" t="s">
        <v>290</v>
      </c>
    </row>
    <row r="13" spans="1:3" x14ac:dyDescent="0.25">
      <c r="B13" t="s">
        <v>269</v>
      </c>
      <c r="C13" t="s">
        <v>289</v>
      </c>
    </row>
    <row r="14" spans="1:3" x14ac:dyDescent="0.25">
      <c r="B14" t="s">
        <v>270</v>
      </c>
      <c r="C14" t="s">
        <v>289</v>
      </c>
    </row>
    <row r="15" spans="1:3" x14ac:dyDescent="0.25">
      <c r="B15" t="s">
        <v>271</v>
      </c>
      <c r="C15" t="s">
        <v>289</v>
      </c>
    </row>
    <row r="16" spans="1:3" x14ac:dyDescent="0.25">
      <c r="B16" t="s">
        <v>272</v>
      </c>
      <c r="C16" t="s">
        <v>290</v>
      </c>
    </row>
    <row r="17" spans="2:3" x14ac:dyDescent="0.25">
      <c r="B17" t="s">
        <v>273</v>
      </c>
      <c r="C17" t="s">
        <v>290</v>
      </c>
    </row>
    <row r="18" spans="2:3" x14ac:dyDescent="0.25">
      <c r="B18" t="s">
        <v>274</v>
      </c>
      <c r="C18" t="s">
        <v>290</v>
      </c>
    </row>
    <row r="19" spans="2:3" x14ac:dyDescent="0.25">
      <c r="B19" t="s">
        <v>275</v>
      </c>
      <c r="C19" t="s">
        <v>290</v>
      </c>
    </row>
    <row r="20" spans="2:3" x14ac:dyDescent="0.25">
      <c r="B20" t="s">
        <v>276</v>
      </c>
      <c r="C20" t="s">
        <v>290</v>
      </c>
    </row>
    <row r="21" spans="2:3" x14ac:dyDescent="0.25">
      <c r="B21" t="s">
        <v>277</v>
      </c>
      <c r="C21" t="s">
        <v>290</v>
      </c>
    </row>
    <row r="22" spans="2:3" x14ac:dyDescent="0.25">
      <c r="B22" t="s">
        <v>278</v>
      </c>
      <c r="C22" t="s">
        <v>289</v>
      </c>
    </row>
    <row r="23" spans="2:3" x14ac:dyDescent="0.25">
      <c r="B23" t="s">
        <v>279</v>
      </c>
      <c r="C23" t="s">
        <v>290</v>
      </c>
    </row>
    <row r="24" spans="2:3" x14ac:dyDescent="0.25">
      <c r="B24" t="s">
        <v>280</v>
      </c>
      <c r="C24" t="s">
        <v>290</v>
      </c>
    </row>
    <row r="25" spans="2:3" x14ac:dyDescent="0.25">
      <c r="B25" t="s">
        <v>281</v>
      </c>
      <c r="C25" t="s">
        <v>290</v>
      </c>
    </row>
    <row r="26" spans="2:3" x14ac:dyDescent="0.25">
      <c r="B26" t="s">
        <v>282</v>
      </c>
      <c r="C26" t="s">
        <v>290</v>
      </c>
    </row>
    <row r="27" spans="2:3" x14ac:dyDescent="0.25">
      <c r="B27" t="s">
        <v>283</v>
      </c>
      <c r="C27" t="s">
        <v>290</v>
      </c>
    </row>
    <row r="28" spans="2:3" x14ac:dyDescent="0.25">
      <c r="B28" t="s">
        <v>284</v>
      </c>
      <c r="C28" t="s">
        <v>290</v>
      </c>
    </row>
    <row r="29" spans="2:3" x14ac:dyDescent="0.25">
      <c r="B29" t="s">
        <v>285</v>
      </c>
      <c r="C29" t="s">
        <v>290</v>
      </c>
    </row>
    <row r="30" spans="2:3" x14ac:dyDescent="0.25">
      <c r="B30" t="s">
        <v>286</v>
      </c>
      <c r="C30" t="s">
        <v>290</v>
      </c>
    </row>
    <row r="31" spans="2:3" x14ac:dyDescent="0.25">
      <c r="B31" t="s">
        <v>287</v>
      </c>
    </row>
    <row r="32" spans="2:3" x14ac:dyDescent="0.25">
      <c r="B32" t="s">
        <v>288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E_TAMPLATE"/>
  <dimension ref="A1:CI41"/>
  <sheetViews>
    <sheetView topLeftCell="BR16" workbookViewId="0">
      <selection activeCell="CI41" sqref="CI41"/>
    </sheetView>
  </sheetViews>
  <sheetFormatPr defaultRowHeight="15" x14ac:dyDescent="0.25"/>
  <cols>
    <col min="1" max="1" width="11" style="32" bestFit="1" customWidth="1"/>
    <col min="2" max="5" width="9.140625" style="32"/>
    <col min="6" max="9" width="9.28515625" style="32" bestFit="1" customWidth="1"/>
    <col min="10" max="17" width="9.140625" style="32"/>
    <col min="18" max="18" width="9.28515625" style="32" bestFit="1" customWidth="1"/>
    <col min="19" max="21" width="9.140625" style="32"/>
    <col min="22" max="35" width="9.28515625" style="32" bestFit="1" customWidth="1"/>
    <col min="36" max="38" width="9.140625" style="32"/>
    <col min="39" max="53" width="9.28515625" style="32" bestFit="1" customWidth="1"/>
    <col min="54" max="58" width="9.140625" style="32"/>
    <col min="59" max="59" width="12.28515625" style="32" customWidth="1"/>
    <col min="60" max="60" width="12.140625" style="32" customWidth="1"/>
    <col min="61" max="61" width="12" style="32" customWidth="1"/>
    <col min="62" max="62" width="10.140625" style="32" customWidth="1"/>
    <col min="63" max="63" width="7.140625" style="32" customWidth="1"/>
    <col min="64" max="64" width="8.140625" style="32" customWidth="1"/>
    <col min="65" max="65" width="7.85546875" style="32" customWidth="1"/>
    <col min="66" max="68" width="9.140625" style="32"/>
    <col min="69" max="69" width="11.28515625" style="32" customWidth="1"/>
    <col min="70" max="70" width="12.28515625" style="32" customWidth="1"/>
    <col min="71" max="16384" width="9.140625" style="32"/>
  </cols>
  <sheetData>
    <row r="1" spans="1:87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1"/>
      <c r="W1" s="31"/>
      <c r="X1" s="31">
        <f>SUM(X4:X2490)</f>
        <v>0</v>
      </c>
      <c r="Y1" s="31">
        <f>SUM(Y4:Y2490)</f>
        <v>0</v>
      </c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>
        <f t="shared" ref="AM1:BA1" si="0">+SUM(AM4:AM9985)</f>
        <v>0</v>
      </c>
      <c r="AN1" s="31">
        <f t="shared" si="0"/>
        <v>0</v>
      </c>
      <c r="AO1" s="31">
        <f t="shared" si="0"/>
        <v>0</v>
      </c>
      <c r="AP1" s="31">
        <f t="shared" si="0"/>
        <v>0</v>
      </c>
      <c r="AQ1" s="31">
        <f t="shared" si="0"/>
        <v>0</v>
      </c>
      <c r="AR1" s="31" t="e">
        <f t="shared" si="0"/>
        <v>#N/A</v>
      </c>
      <c r="AS1" s="31" t="e">
        <f t="shared" si="0"/>
        <v>#N/A</v>
      </c>
      <c r="AT1" s="31">
        <f t="shared" si="0"/>
        <v>0</v>
      </c>
      <c r="AU1" s="31">
        <f t="shared" si="0"/>
        <v>0</v>
      </c>
      <c r="AV1" s="31">
        <f t="shared" si="0"/>
        <v>0</v>
      </c>
      <c r="AW1" s="31">
        <f t="shared" si="0"/>
        <v>0</v>
      </c>
      <c r="AX1" s="31">
        <f t="shared" si="0"/>
        <v>0</v>
      </c>
      <c r="AY1" s="31">
        <f t="shared" si="0"/>
        <v>0</v>
      </c>
      <c r="AZ1" s="31">
        <f t="shared" si="0"/>
        <v>0</v>
      </c>
      <c r="BA1" s="31">
        <f t="shared" si="0"/>
        <v>0</v>
      </c>
    </row>
    <row r="2" spans="1:87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110" t="s">
        <v>89</v>
      </c>
      <c r="AN2" s="110"/>
      <c r="AO2" s="110"/>
      <c r="AP2" s="110"/>
      <c r="AQ2" s="110"/>
      <c r="AR2" s="110" t="s">
        <v>90</v>
      </c>
      <c r="AS2" s="110"/>
      <c r="AT2" s="110"/>
      <c r="AU2" s="110"/>
      <c r="AV2" s="110"/>
      <c r="AW2" s="110"/>
      <c r="AX2" s="110"/>
      <c r="AY2" s="110"/>
      <c r="AZ2" s="110"/>
      <c r="BA2" s="110"/>
    </row>
    <row r="3" spans="1:87" x14ac:dyDescent="0.25">
      <c r="A3" s="33" t="s">
        <v>91</v>
      </c>
      <c r="B3" s="33" t="s">
        <v>92</v>
      </c>
      <c r="C3" s="33" t="s">
        <v>93</v>
      </c>
      <c r="D3" s="33" t="s">
        <v>94</v>
      </c>
      <c r="E3" s="33" t="s">
        <v>95</v>
      </c>
      <c r="F3" s="33" t="s">
        <v>96</v>
      </c>
      <c r="G3" s="33" t="s">
        <v>97</v>
      </c>
      <c r="H3" s="33" t="s">
        <v>98</v>
      </c>
      <c r="I3" s="33" t="s">
        <v>99</v>
      </c>
      <c r="J3" s="33" t="s">
        <v>100</v>
      </c>
      <c r="K3" s="33" t="s">
        <v>101</v>
      </c>
      <c r="L3" s="33" t="s">
        <v>102</v>
      </c>
      <c r="M3" s="33" t="s">
        <v>103</v>
      </c>
      <c r="N3" s="33" t="s">
        <v>104</v>
      </c>
      <c r="O3" s="33" t="s">
        <v>105</v>
      </c>
      <c r="P3" s="33" t="s">
        <v>106</v>
      </c>
      <c r="Q3" s="33" t="s">
        <v>107</v>
      </c>
      <c r="R3" s="33" t="s">
        <v>108</v>
      </c>
      <c r="S3" s="34" t="s">
        <v>109</v>
      </c>
      <c r="V3" s="31" t="s">
        <v>110</v>
      </c>
      <c r="W3" s="31" t="s">
        <v>111</v>
      </c>
      <c r="X3" s="31" t="s">
        <v>112</v>
      </c>
      <c r="Y3" s="31" t="s">
        <v>113</v>
      </c>
      <c r="Z3" s="31" t="s">
        <v>114</v>
      </c>
      <c r="AA3" s="31" t="s">
        <v>115</v>
      </c>
      <c r="AB3" s="31" t="s">
        <v>102</v>
      </c>
      <c r="AC3" s="31" t="s">
        <v>103</v>
      </c>
      <c r="AD3" s="31" t="s">
        <v>104</v>
      </c>
      <c r="AE3" s="31" t="s">
        <v>105</v>
      </c>
      <c r="AF3" s="31" t="s">
        <v>106</v>
      </c>
      <c r="AG3" s="31" t="s">
        <v>107</v>
      </c>
      <c r="AH3" s="31" t="s">
        <v>101</v>
      </c>
      <c r="AI3" s="31" t="s">
        <v>108</v>
      </c>
      <c r="AJ3" s="31"/>
      <c r="AK3" s="31"/>
      <c r="AL3" s="31"/>
      <c r="AM3" s="35" t="s">
        <v>116</v>
      </c>
      <c r="AN3" s="35" t="s">
        <v>117</v>
      </c>
      <c r="AO3" s="35" t="s">
        <v>118</v>
      </c>
      <c r="AP3" s="35" t="s">
        <v>119</v>
      </c>
      <c r="AQ3" s="35" t="s">
        <v>120</v>
      </c>
      <c r="AR3" s="35" t="s">
        <v>121</v>
      </c>
      <c r="AS3" s="35" t="s">
        <v>122</v>
      </c>
      <c r="AT3" s="35" t="s">
        <v>123</v>
      </c>
      <c r="AU3" s="35" t="s">
        <v>124</v>
      </c>
      <c r="AV3" s="35" t="s">
        <v>104</v>
      </c>
      <c r="AW3" s="35" t="s">
        <v>125</v>
      </c>
      <c r="AX3" s="35" t="s">
        <v>106</v>
      </c>
      <c r="AY3" s="35" t="s">
        <v>107</v>
      </c>
      <c r="AZ3" s="35" t="s">
        <v>101</v>
      </c>
      <c r="BA3" s="35" t="s">
        <v>126</v>
      </c>
    </row>
    <row r="4" spans="1:87" x14ac:dyDescent="0.25">
      <c r="A4" s="36">
        <v>1300024188</v>
      </c>
      <c r="B4" s="36" t="s">
        <v>116</v>
      </c>
      <c r="C4" s="36" t="s">
        <v>127</v>
      </c>
      <c r="D4" s="36"/>
      <c r="E4" s="36"/>
      <c r="F4" s="36">
        <v>0</v>
      </c>
      <c r="G4" s="36">
        <v>0</v>
      </c>
      <c r="H4" s="36">
        <v>925</v>
      </c>
      <c r="I4" s="36">
        <v>2015</v>
      </c>
      <c r="J4" s="37" t="s">
        <v>128</v>
      </c>
      <c r="K4" s="36" t="s">
        <v>129</v>
      </c>
      <c r="L4" s="37" t="s">
        <v>130</v>
      </c>
      <c r="M4" s="36" t="s">
        <v>131</v>
      </c>
      <c r="N4" s="36" t="s">
        <v>0</v>
      </c>
      <c r="O4" s="36" t="s">
        <v>130</v>
      </c>
      <c r="P4" s="36" t="s">
        <v>130</v>
      </c>
      <c r="Q4" s="36" t="s">
        <v>132</v>
      </c>
      <c r="R4" s="36">
        <v>0</v>
      </c>
      <c r="S4" s="36"/>
      <c r="T4" s="38"/>
      <c r="U4" s="38"/>
      <c r="V4" s="39">
        <f>IF(J4="CST",CSTV,VATV)*F4*H4*[1]USERCONTROL!$B$3^([1]USERCONTROL!$B$2-[1]PIPING!I4)</f>
        <v>0</v>
      </c>
      <c r="W4" s="39">
        <f>F4*H4*[1]USERCONTROL!$B$3^([1]USERCONTROL!$B$2-[1]PIPING!I4)</f>
        <v>0</v>
      </c>
      <c r="X4" s="31">
        <f>IF(B4&lt;&gt; "",ROUNDUP(IDMARGIN*[1]PIPING!D4*[1]PIPING!G4,0),0)</f>
        <v>0</v>
      </c>
      <c r="Y4" s="31">
        <f>IF(B4&lt;&gt; "",IF(B4="Pipe",ROUNDUP(IMMARGIN*[1]PIPING!D4*[1]PIPING!F4,0),0),0)</f>
        <v>0</v>
      </c>
      <c r="Z4" s="39" t="e">
        <f>IF(B4&lt;&gt; "",INDEX([1]CONTROL!$E$2:$E$29,MATCH([1]PIPING!E4,[1]CONTROL!$D$2:$D$29,0),1)*X4,0)</f>
        <v>#N/A</v>
      </c>
      <c r="AA4" s="39" t="e">
        <f>IF(B4&lt;&gt; "",INDEX([1]CONTROL!$F$2:$F$29,MATCH([1]PIPING!E4,[1]CONTROL!$D$2:$D$29,0),1)*Y4,0)</f>
        <v>#N/A</v>
      </c>
      <c r="AB4" s="39">
        <f>IF(B4&lt;&gt; "",INDEX([1]CONTROL!$U$2:$U$36,MATCH([1]PIPING!L4,[1]CONTROL!$T$2:$T$36,0),1)*INSULMARGIN*(3.1416*[1]PIPING!D4*(25.4/1000))*IF([1]PIPING!B4="Pipe",[1]PIPING!F4,1)+SHEATHMARGIN*IF(L4="NIL",0,[1]CONTROL!$X$2)*(3.1416*D4*(25.4/1000))*IF(B4="Pipe",F4,1)+IF(L4="NIL",0,[1]CONTROL!$X$4)*(3.1416*[1]PIPING!D4*(25.4/1000))*IF([1]PIPING!B4="Pipe",[1]PIPING!F4,1),0)</f>
        <v>0</v>
      </c>
      <c r="AC4" s="31">
        <f>IF(B4&lt;&gt; "",INDEX([1]CONTROL!$BB$4:$BB$21,MATCH([1]PIPING!M4,[1]CONTROL!$AM$4:$AM$21,0),1)*[1]USERCONTROL!$B$11*(3.1416)*(1/1000)*(D4*25.4)*IF(B4="Pipe",F4,1),0)</f>
        <v>0</v>
      </c>
      <c r="AD4" s="39">
        <f>IF(B4&lt;&gt; "",IF(N4="Y",[1]CONTROL!$X$6,0)*IF(B4="Pipe",F4,1)*(3.1416*D4*(25.4/1000))*CWMARGIN,0)</f>
        <v>0</v>
      </c>
      <c r="AE4" s="39">
        <f>IF(B4&lt;&gt; "",INDEX([1]CONTROL!$AC$2:$AC$6,MATCH([1]PIPING!O4,[1]CONTROL!$AA$2:$AA$6,0),1)*[1]PIPING!X4,0)</f>
        <v>0</v>
      </c>
      <c r="AF4" s="31">
        <f>IF(B4&lt;&gt; "",INDEX([1]CONTROL!$AF$2:$AF$4,MATCH([1]PIPING!P4,POST_D,0),1)*[1]PIPING!X4,0)</f>
        <v>0</v>
      </c>
      <c r="AG4" s="31">
        <f>IF(B4&lt;&gt; "",INDEX([1]CONTROL!$AI$2:$AI$4,MATCH([1]PIPING!Q4,[1]CONTROL!$AG$2:$AG$4,0),1)*[1]PIPING!X4,0)</f>
        <v>0</v>
      </c>
      <c r="AH4" s="31">
        <f>ROUNDUP(IF(K4&lt;&gt; "",INDEX([1]CONTROL!$S$2:$S$5,MATCH([1]PIPING!K4,[1]CONTROL!$R$2:$R$5,0),1),0)*ROUNDUP(G4,0),0)*rt_extra_peri*[1]USERCONTROL!$I$4*(3.1416*[1]PIPING!D4)*[1]CONTROL!$BX$1+ROUNDUP((ROUNDUP(IF(K4&lt;&gt; "",INDEX([1]CONTROL!$S$2:$S$5,MATCH([1]PIPING!K4,[1]CONTROL!$R$2:$R$5,0),1),0)*ROUNDUP(G4,0),0))/[1]USERCONTROL!$B$13,0)*[1]USERCONTROL!$I$3</f>
        <v>0</v>
      </c>
      <c r="AI4" s="31">
        <f>IF(B4&lt;&gt; "",R4*[1]USERCONTROL!$I$2*[1]CONTROL!$BE$3,0)</f>
        <v>0</v>
      </c>
      <c r="AJ4" s="31"/>
      <c r="AK4" s="31"/>
      <c r="AL4" s="31"/>
      <c r="AM4" s="31">
        <f>IF(B4="Pipe",W4+V4,0)</f>
        <v>0</v>
      </c>
      <c r="AN4" s="31">
        <f>IF(OR(B4="Elbow",B4="Tee",B4="Reducer",B4="Other Fitting"),V4+W4,0)</f>
        <v>0</v>
      </c>
      <c r="AO4" s="31">
        <f>IF(OR(B4="Flange",B4="Blind Flange"),V4+W4,0)</f>
        <v>0</v>
      </c>
      <c r="AP4" s="31">
        <f>IF(B4="Valve",W4+V4,0)</f>
        <v>0</v>
      </c>
      <c r="AQ4" s="31">
        <f>IF(AND(AM4=0,AN4=0,AO4=0,AP4=0),V4+W4,0)</f>
        <v>0</v>
      </c>
      <c r="AR4" s="31" t="e">
        <f>(1+[1]USERCONTROL!$B$12)*[1]PIPING!Z4</f>
        <v>#N/A</v>
      </c>
      <c r="AS4" s="31" t="e">
        <f>(1+[1]USERCONTROL!$B$12)*[1]PIPING!AA4</f>
        <v>#N/A</v>
      </c>
      <c r="AT4" s="31">
        <f>(1+[1]USERCONTROL!$B$12)*AB4</f>
        <v>0</v>
      </c>
      <c r="AU4" s="31">
        <f>(1+[1]USERCONTROL!$B$12)*AC4</f>
        <v>0</v>
      </c>
      <c r="AV4" s="31">
        <f>(1+[1]USERCONTROL!$B$12)*AD4</f>
        <v>0</v>
      </c>
      <c r="AW4" s="31">
        <f>(1+[1]USERCONTROL!$B$12)*AE4</f>
        <v>0</v>
      </c>
      <c r="AX4" s="31">
        <f>(1+[1]USERCONTROL!$B$12)*AF4</f>
        <v>0</v>
      </c>
      <c r="AY4" s="31">
        <f>(1+[1]USERCONTROL!$B$12)*AG4</f>
        <v>0</v>
      </c>
      <c r="AZ4" s="31">
        <f>(1+[1]USERCONTROL!$B$12)*AH4</f>
        <v>0</v>
      </c>
      <c r="BA4" s="31">
        <f>(1+[1]USERCONTROL!$B$12)*AI4</f>
        <v>0</v>
      </c>
    </row>
    <row r="5" spans="1:87" ht="15.75" thickBot="1" x14ac:dyDescent="0.3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</row>
    <row r="6" spans="1:87" ht="15.75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J6" s="93" t="s">
        <v>248</v>
      </c>
      <c r="BK6" s="94"/>
      <c r="BL6" s="95"/>
      <c r="BT6" s="93" t="s">
        <v>247</v>
      </c>
      <c r="BU6" s="94"/>
      <c r="BV6" s="95"/>
      <c r="CD6" s="93" t="s">
        <v>249</v>
      </c>
      <c r="CE6" s="94"/>
      <c r="CF6" s="95"/>
    </row>
    <row r="7" spans="1:87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H7" s="55"/>
      <c r="BI7" s="56"/>
      <c r="BJ7" s="56"/>
      <c r="BK7" s="56"/>
      <c r="BL7" s="56"/>
      <c r="BM7" s="56"/>
      <c r="BN7" s="56"/>
      <c r="BO7" s="57"/>
      <c r="BR7" s="55"/>
      <c r="BS7" s="56"/>
      <c r="BT7" s="56"/>
      <c r="BU7" s="56"/>
      <c r="BV7" s="56"/>
      <c r="BW7" s="56"/>
      <c r="BX7" s="56"/>
      <c r="BY7" s="57"/>
      <c r="CB7" s="55"/>
      <c r="CC7" s="56"/>
      <c r="CD7" s="56"/>
      <c r="CE7" s="56"/>
      <c r="CF7" s="56"/>
      <c r="CG7" s="56"/>
      <c r="CH7" s="56"/>
      <c r="CI7" s="57"/>
    </row>
    <row r="8" spans="1:87" ht="24" customHeight="1" x14ac:dyDescent="0.25">
      <c r="BH8" s="58"/>
      <c r="BI8" s="96" t="s">
        <v>222</v>
      </c>
      <c r="BJ8" s="96"/>
      <c r="BK8" s="96"/>
      <c r="BL8" s="96"/>
      <c r="BM8" s="96"/>
      <c r="BN8" s="96"/>
      <c r="BO8" s="97"/>
      <c r="BR8" s="58"/>
      <c r="BS8" s="96" t="s">
        <v>222</v>
      </c>
      <c r="BT8" s="96"/>
      <c r="BU8" s="96"/>
      <c r="BV8" s="96"/>
      <c r="BW8" s="96"/>
      <c r="BX8" s="96"/>
      <c r="BY8" s="97"/>
      <c r="CB8" s="58"/>
      <c r="CC8" s="96" t="s">
        <v>222</v>
      </c>
      <c r="CD8" s="96"/>
      <c r="CE8" s="96"/>
      <c r="CF8" s="96"/>
      <c r="CG8" s="96"/>
      <c r="CH8" s="96"/>
      <c r="CI8" s="97"/>
    </row>
    <row r="9" spans="1:87" ht="15" customHeight="1" x14ac:dyDescent="0.25">
      <c r="BH9" s="58"/>
      <c r="BI9" s="98" t="s">
        <v>223</v>
      </c>
      <c r="BJ9" s="98"/>
      <c r="BK9" s="98"/>
      <c r="BL9" s="98"/>
      <c r="BM9" s="98"/>
      <c r="BN9" s="98"/>
      <c r="BO9" s="99"/>
      <c r="BR9" s="58"/>
      <c r="BS9" s="98" t="s">
        <v>223</v>
      </c>
      <c r="BT9" s="98"/>
      <c r="BU9" s="98"/>
      <c r="BV9" s="98"/>
      <c r="BW9" s="98"/>
      <c r="BX9" s="98"/>
      <c r="BY9" s="99"/>
      <c r="CB9" s="58"/>
      <c r="CC9" s="98" t="s">
        <v>223</v>
      </c>
      <c r="CD9" s="98"/>
      <c r="CE9" s="98"/>
      <c r="CF9" s="98"/>
      <c r="CG9" s="98"/>
      <c r="CH9" s="98"/>
      <c r="CI9" s="99"/>
    </row>
    <row r="10" spans="1:87" ht="19.5" x14ac:dyDescent="0.25">
      <c r="BH10" s="58"/>
      <c r="BI10" s="100" t="s">
        <v>224</v>
      </c>
      <c r="BJ10" s="100"/>
      <c r="BK10" s="100"/>
      <c r="BL10" s="100"/>
      <c r="BM10" s="100"/>
      <c r="BN10" s="100"/>
      <c r="BO10" s="101"/>
      <c r="BR10" s="58"/>
      <c r="BS10" s="100" t="s">
        <v>224</v>
      </c>
      <c r="BT10" s="100"/>
      <c r="BU10" s="100"/>
      <c r="BV10" s="100"/>
      <c r="BW10" s="100"/>
      <c r="BX10" s="100"/>
      <c r="BY10" s="101"/>
      <c r="CB10" s="58"/>
      <c r="CC10" s="100" t="s">
        <v>224</v>
      </c>
      <c r="CD10" s="100"/>
      <c r="CE10" s="100"/>
      <c r="CF10" s="100"/>
      <c r="CG10" s="100"/>
      <c r="CH10" s="100"/>
      <c r="CI10" s="101"/>
    </row>
    <row r="11" spans="1:87" x14ac:dyDescent="0.25">
      <c r="BH11" s="58"/>
      <c r="BI11" s="42"/>
      <c r="BJ11" s="42"/>
      <c r="BK11" s="42"/>
      <c r="BL11" s="49" t="s">
        <v>225</v>
      </c>
      <c r="BM11" s="42"/>
      <c r="BN11" s="42"/>
      <c r="BO11" s="65"/>
      <c r="BR11" s="58"/>
      <c r="BS11" s="42"/>
      <c r="BT11" s="42"/>
      <c r="BU11" s="42"/>
      <c r="BV11" s="49" t="s">
        <v>225</v>
      </c>
      <c r="BW11" s="42"/>
      <c r="BX11" s="42"/>
      <c r="BY11" s="65"/>
      <c r="CB11" s="58"/>
      <c r="CC11" s="42"/>
      <c r="CD11" s="42"/>
      <c r="CE11" s="42"/>
      <c r="CF11" s="49" t="s">
        <v>225</v>
      </c>
      <c r="CG11" s="42"/>
      <c r="CH11" s="42"/>
      <c r="CI11" s="65"/>
    </row>
    <row r="12" spans="1:87" ht="23.25" x14ac:dyDescent="0.25">
      <c r="BH12" s="58"/>
      <c r="BI12" s="41"/>
      <c r="BJ12" s="102" t="s">
        <v>234</v>
      </c>
      <c r="BK12" s="103"/>
      <c r="BL12" s="103"/>
      <c r="BM12" s="103"/>
      <c r="BN12" s="103"/>
      <c r="BO12" s="59"/>
      <c r="BR12" s="58"/>
      <c r="BS12" s="41"/>
      <c r="BT12" s="102" t="s">
        <v>234</v>
      </c>
      <c r="BU12" s="103"/>
      <c r="BV12" s="103"/>
      <c r="BW12" s="103"/>
      <c r="BX12" s="103"/>
      <c r="BY12" s="59"/>
      <c r="CB12" s="58"/>
      <c r="CC12" s="41"/>
      <c r="CD12" s="102" t="s">
        <v>234</v>
      </c>
      <c r="CE12" s="103"/>
      <c r="CF12" s="103"/>
      <c r="CG12" s="103"/>
      <c r="CH12" s="103"/>
      <c r="CI12" s="59"/>
    </row>
    <row r="13" spans="1:87" ht="21" x14ac:dyDescent="0.25">
      <c r="BH13" s="58"/>
      <c r="BI13" s="104" t="s">
        <v>233</v>
      </c>
      <c r="BJ13" s="105"/>
      <c r="BK13" s="105"/>
      <c r="BL13" s="105"/>
      <c r="BM13" s="105"/>
      <c r="BN13" s="105"/>
      <c r="BO13" s="106"/>
      <c r="BR13" s="58"/>
      <c r="BS13" s="104" t="s">
        <v>233</v>
      </c>
      <c r="BT13" s="105"/>
      <c r="BU13" s="105"/>
      <c r="BV13" s="105"/>
      <c r="BW13" s="105"/>
      <c r="BX13" s="105"/>
      <c r="BY13" s="106"/>
      <c r="CB13" s="58"/>
      <c r="CC13" s="104" t="s">
        <v>233</v>
      </c>
      <c r="CD13" s="105"/>
      <c r="CE13" s="105"/>
      <c r="CF13" s="105"/>
      <c r="CG13" s="105"/>
      <c r="CH13" s="105"/>
      <c r="CI13" s="106"/>
    </row>
    <row r="14" spans="1:87" x14ac:dyDescent="0.25">
      <c r="BH14" s="58"/>
      <c r="BI14" s="41"/>
      <c r="BJ14" s="41"/>
      <c r="BK14" s="41"/>
      <c r="BL14" s="41"/>
      <c r="BM14" s="41"/>
      <c r="BN14" s="41"/>
      <c r="BO14" s="59"/>
      <c r="BR14" s="58"/>
      <c r="BS14" s="41"/>
      <c r="BT14" s="41"/>
      <c r="BU14" s="41"/>
      <c r="BV14" s="41"/>
      <c r="BW14" s="41"/>
      <c r="BX14" s="41"/>
      <c r="BY14" s="59"/>
      <c r="CB14" s="58"/>
      <c r="CC14" s="41"/>
      <c r="CD14" s="41"/>
      <c r="CE14" s="41"/>
      <c r="CF14" s="41"/>
      <c r="CG14" s="41"/>
      <c r="CH14" s="41"/>
      <c r="CI14" s="59"/>
    </row>
    <row r="15" spans="1:87" ht="15.75" x14ac:dyDescent="0.25">
      <c r="BH15" s="58"/>
      <c r="BI15" s="41"/>
      <c r="BJ15" s="60" t="s">
        <v>227</v>
      </c>
      <c r="BK15" s="60"/>
      <c r="BL15" s="60"/>
      <c r="BM15" s="60"/>
      <c r="BN15" s="60"/>
      <c r="BO15" s="66"/>
      <c r="BR15" s="58"/>
      <c r="BS15" s="41"/>
      <c r="BT15" s="60" t="s">
        <v>227</v>
      </c>
      <c r="BU15" s="60"/>
      <c r="BV15" s="60"/>
      <c r="BW15" s="60"/>
      <c r="BX15" s="60"/>
      <c r="BY15" s="66"/>
      <c r="CB15" s="58"/>
      <c r="CC15" s="41"/>
      <c r="CD15" s="60" t="s">
        <v>227</v>
      </c>
      <c r="CE15" s="60"/>
      <c r="CF15" s="60"/>
      <c r="CG15" s="60"/>
      <c r="CH15" s="60"/>
      <c r="CI15" s="66"/>
    </row>
    <row r="16" spans="1:87" ht="44.25" customHeight="1" x14ac:dyDescent="0.35">
      <c r="BH16" s="67" t="s">
        <v>229</v>
      </c>
      <c r="BI16" s="81" t="s">
        <v>228</v>
      </c>
      <c r="BJ16" s="82"/>
      <c r="BK16" s="83"/>
      <c r="BL16" s="47" t="s">
        <v>231</v>
      </c>
      <c r="BM16" s="84" t="s">
        <v>232</v>
      </c>
      <c r="BN16" s="85"/>
      <c r="BO16" s="86"/>
      <c r="BR16" s="67" t="s">
        <v>229</v>
      </c>
      <c r="BS16" s="81" t="s">
        <v>228</v>
      </c>
      <c r="BT16" s="82"/>
      <c r="BU16" s="83"/>
      <c r="BV16" s="47" t="s">
        <v>231</v>
      </c>
      <c r="BW16" s="84" t="s">
        <v>250</v>
      </c>
      <c r="BX16" s="85"/>
      <c r="BY16" s="86"/>
      <c r="CB16" s="67" t="s">
        <v>229</v>
      </c>
      <c r="CC16" s="81" t="s">
        <v>228</v>
      </c>
      <c r="CD16" s="82"/>
      <c r="CE16" s="83"/>
      <c r="CF16" s="47" t="s">
        <v>231</v>
      </c>
      <c r="CG16" s="84" t="s">
        <v>251</v>
      </c>
      <c r="CH16" s="85"/>
      <c r="CI16" s="86"/>
    </row>
    <row r="17" spans="58:87" ht="19.5" x14ac:dyDescent="0.35">
      <c r="BH17" s="68" t="s">
        <v>230</v>
      </c>
      <c r="BI17" s="46"/>
      <c r="BJ17" s="44"/>
      <c r="BK17" s="44"/>
      <c r="BL17" s="44"/>
      <c r="BM17" s="44"/>
      <c r="BN17" s="44"/>
      <c r="BO17" s="69"/>
      <c r="BR17" s="68" t="s">
        <v>230</v>
      </c>
      <c r="BS17" s="46"/>
      <c r="BT17" s="44"/>
      <c r="BU17" s="44"/>
      <c r="BV17" s="44"/>
      <c r="BW17" s="44"/>
      <c r="BX17" s="44"/>
      <c r="BY17" s="69"/>
      <c r="CB17" s="68" t="s">
        <v>230</v>
      </c>
      <c r="CC17" s="46"/>
      <c r="CD17" s="44"/>
      <c r="CE17" s="44"/>
      <c r="CF17" s="44"/>
      <c r="CG17" s="44"/>
      <c r="CH17" s="44"/>
      <c r="CI17" s="69"/>
    </row>
    <row r="18" spans="58:87" x14ac:dyDescent="0.25">
      <c r="BH18" s="58"/>
      <c r="BI18" s="41"/>
      <c r="BJ18" s="41"/>
      <c r="BK18" s="41"/>
      <c r="BL18" s="41"/>
      <c r="BM18" s="41"/>
      <c r="BN18" s="41"/>
      <c r="BO18" s="59"/>
      <c r="BR18" s="58"/>
      <c r="BS18" s="41"/>
      <c r="BT18" s="41"/>
      <c r="BU18" s="41"/>
      <c r="BV18" s="41"/>
      <c r="BW18" s="41"/>
      <c r="BX18" s="41"/>
      <c r="BY18" s="59"/>
      <c r="CB18" s="58"/>
      <c r="CC18" s="41"/>
      <c r="CD18" s="41"/>
      <c r="CE18" s="41"/>
      <c r="CF18" s="41"/>
      <c r="CG18" s="41"/>
      <c r="CH18" s="41"/>
      <c r="CI18" s="59"/>
    </row>
    <row r="19" spans="58:87" x14ac:dyDescent="0.25">
      <c r="BH19" s="58"/>
      <c r="BI19" s="41"/>
      <c r="BJ19" s="41"/>
      <c r="BK19" s="41"/>
      <c r="BL19" s="41"/>
      <c r="BM19" s="41"/>
      <c r="BN19" s="41"/>
      <c r="BO19" s="59"/>
      <c r="BR19" s="58"/>
      <c r="BS19" s="41"/>
      <c r="BT19" s="41"/>
      <c r="BU19" s="41"/>
      <c r="BV19" s="41"/>
      <c r="BW19" s="41"/>
      <c r="BX19" s="41"/>
      <c r="BY19" s="59"/>
      <c r="CB19" s="58"/>
      <c r="CC19" s="41"/>
      <c r="CD19" s="41"/>
      <c r="CE19" s="41"/>
      <c r="CF19" s="41"/>
      <c r="CG19" s="41"/>
      <c r="CH19" s="41"/>
      <c r="CI19" s="59"/>
    </row>
    <row r="20" spans="58:87" ht="36" customHeight="1" x14ac:dyDescent="0.4">
      <c r="BH20" s="70" t="s">
        <v>240</v>
      </c>
      <c r="BI20" s="87" t="s">
        <v>243</v>
      </c>
      <c r="BJ20" s="87"/>
      <c r="BK20" s="87"/>
      <c r="BL20" s="87"/>
      <c r="BM20" s="87"/>
      <c r="BN20" s="87"/>
      <c r="BO20" s="88"/>
      <c r="BR20" s="70" t="s">
        <v>240</v>
      </c>
      <c r="BS20" s="87" t="s">
        <v>243</v>
      </c>
      <c r="BT20" s="87"/>
      <c r="BU20" s="87"/>
      <c r="BV20" s="87"/>
      <c r="BW20" s="87"/>
      <c r="BX20" s="87"/>
      <c r="BY20" s="88"/>
      <c r="CB20" s="70" t="s">
        <v>240</v>
      </c>
      <c r="CC20" s="87" t="s">
        <v>243</v>
      </c>
      <c r="CD20" s="87"/>
      <c r="CE20" s="87"/>
      <c r="CF20" s="87"/>
      <c r="CG20" s="87"/>
      <c r="CH20" s="87"/>
      <c r="CI20" s="88"/>
    </row>
    <row r="21" spans="58:87" ht="43.5" x14ac:dyDescent="0.4">
      <c r="BH21" s="70" t="s">
        <v>241</v>
      </c>
      <c r="BI21" s="89" t="s">
        <v>242</v>
      </c>
      <c r="BJ21" s="89"/>
      <c r="BK21" s="89"/>
      <c r="BL21" s="41"/>
      <c r="BM21" s="41"/>
      <c r="BN21" s="41"/>
      <c r="BO21" s="59"/>
      <c r="BR21" s="70" t="s">
        <v>241</v>
      </c>
      <c r="BS21" s="89" t="s">
        <v>242</v>
      </c>
      <c r="BT21" s="89"/>
      <c r="BU21" s="89"/>
      <c r="BV21" s="41"/>
      <c r="BW21" s="41"/>
      <c r="BX21" s="41"/>
      <c r="BY21" s="59"/>
      <c r="CB21" s="70" t="s">
        <v>241</v>
      </c>
      <c r="CC21" s="89" t="s">
        <v>242</v>
      </c>
      <c r="CD21" s="89"/>
      <c r="CE21" s="89"/>
      <c r="CF21" s="41"/>
      <c r="CG21" s="41"/>
      <c r="CH21" s="41"/>
      <c r="CI21" s="59"/>
    </row>
    <row r="22" spans="58:87" ht="15.75" x14ac:dyDescent="0.25">
      <c r="BF22" s="29"/>
      <c r="BH22" s="58"/>
      <c r="BI22" s="41"/>
      <c r="BJ22" s="41"/>
      <c r="BK22" s="41"/>
      <c r="BL22" s="41"/>
      <c r="BM22" s="41"/>
      <c r="BN22" s="41"/>
      <c r="BO22" s="59"/>
      <c r="BR22" s="58"/>
      <c r="BS22" s="41"/>
      <c r="BT22" s="41"/>
      <c r="BU22" s="41"/>
      <c r="BV22" s="41"/>
      <c r="BW22" s="41"/>
      <c r="BX22" s="41"/>
      <c r="BY22" s="59"/>
      <c r="CB22" s="58"/>
      <c r="CC22" s="41"/>
      <c r="CD22" s="41"/>
      <c r="CE22" s="41"/>
      <c r="CF22" s="41"/>
      <c r="CG22" s="41"/>
      <c r="CH22" s="41"/>
      <c r="CI22" s="59"/>
    </row>
    <row r="23" spans="58:87" x14ac:dyDescent="0.25">
      <c r="BH23" s="58"/>
      <c r="BI23" s="41"/>
      <c r="BJ23" s="41"/>
      <c r="BK23" s="41"/>
      <c r="BL23" s="41"/>
      <c r="BM23" s="41"/>
      <c r="BN23" s="41"/>
      <c r="BO23" s="59"/>
      <c r="BR23" s="58"/>
      <c r="BS23" s="41"/>
      <c r="BT23" s="41"/>
      <c r="BU23" s="41"/>
      <c r="BV23" s="41"/>
      <c r="BW23" s="41"/>
      <c r="BX23" s="41"/>
      <c r="BY23" s="59"/>
      <c r="CB23" s="58"/>
      <c r="CC23" s="41"/>
      <c r="CD23" s="41"/>
      <c r="CE23" s="41"/>
      <c r="CF23" s="41"/>
      <c r="CG23" s="41"/>
      <c r="CH23" s="41"/>
      <c r="CI23" s="59"/>
    </row>
    <row r="24" spans="58:87" ht="21.75" x14ac:dyDescent="0.4">
      <c r="BH24" s="71" t="s">
        <v>226</v>
      </c>
      <c r="BI24" s="61"/>
      <c r="BJ24" s="41"/>
      <c r="BK24" s="41"/>
      <c r="BL24" s="41"/>
      <c r="BM24" s="41"/>
      <c r="BN24" s="41"/>
      <c r="BO24" s="59"/>
      <c r="BR24" s="71" t="s">
        <v>226</v>
      </c>
      <c r="BS24" s="61"/>
      <c r="BT24" s="41"/>
      <c r="BU24" s="41"/>
      <c r="BV24" s="41"/>
      <c r="BW24" s="41"/>
      <c r="BX24" s="41"/>
      <c r="BY24" s="59"/>
      <c r="CB24" s="71" t="s">
        <v>226</v>
      </c>
      <c r="CC24" s="61"/>
      <c r="CD24" s="41"/>
      <c r="CE24" s="41"/>
      <c r="CF24" s="41"/>
      <c r="CG24" s="41"/>
      <c r="CH24" s="41"/>
      <c r="CI24" s="59"/>
    </row>
    <row r="25" spans="58:87" ht="21.75" x14ac:dyDescent="0.4">
      <c r="BH25" s="72" t="str">
        <f>CONCATENATE("परियोजना संख्या"," P-16-055",  "संबंधित प्रक्रिया एवं अभियांत्रिकी आरेख  और यांत्रिकरण  डेटा")</f>
        <v>परियोजना संख्या P-16-055संबंधित प्रक्रिया एवं अभियांत्रिकी आरेख  और यांत्रिकरण  डेटा</v>
      </c>
      <c r="BI25" s="61"/>
      <c r="BJ25" s="41"/>
      <c r="BK25" s="41"/>
      <c r="BL25" s="41"/>
      <c r="BM25" s="41"/>
      <c r="BN25" s="41"/>
      <c r="BO25" s="59"/>
      <c r="BR25" s="72" t="str">
        <f>CONCATENATE("परियोजना संख्या"," P-16-055",  "संबंधित प्रक्रिया एवं अभियांत्रिकी आरेख  और यांत्रिकरण  डेटा")</f>
        <v>परियोजना संख्या P-16-055संबंधित प्रक्रिया एवं अभियांत्रिकी आरेख  और यांत्रिकरण  डेटा</v>
      </c>
      <c r="BS25" s="61"/>
      <c r="BT25" s="41"/>
      <c r="BU25" s="41"/>
      <c r="BV25" s="41"/>
      <c r="BW25" s="41"/>
      <c r="BX25" s="41"/>
      <c r="BY25" s="59"/>
      <c r="CB25" s="72" t="str">
        <f>CONCATENATE("परियोजना संख्या"," P-16-055",  "संबंधित प्रक्रिया एवं अभियांत्रिकी आरेख  और यांत्रिकरण  डेटा")</f>
        <v>परियोजना संख्या P-16-055संबंधित प्रक्रिया एवं अभियांत्रिकी आरेख  और यांत्रिकरण  डेटा</v>
      </c>
      <c r="CC25" s="61"/>
      <c r="CD25" s="41"/>
      <c r="CE25" s="41"/>
      <c r="CF25" s="41"/>
      <c r="CG25" s="41"/>
      <c r="CH25" s="41"/>
      <c r="CI25" s="59"/>
    </row>
    <row r="26" spans="58:87" ht="21.75" x14ac:dyDescent="0.4">
      <c r="BH26" s="72" t="s">
        <v>244</v>
      </c>
      <c r="BI26" s="61"/>
      <c r="BJ26" s="41"/>
      <c r="BK26" s="41"/>
      <c r="BL26" s="41"/>
      <c r="BM26" s="41"/>
      <c r="BN26" s="41"/>
      <c r="BO26" s="59"/>
      <c r="BR26" s="72" t="s">
        <v>244</v>
      </c>
      <c r="BS26" s="61"/>
      <c r="BT26" s="41"/>
      <c r="BU26" s="41"/>
      <c r="BV26" s="41"/>
      <c r="BW26" s="41"/>
      <c r="BX26" s="41"/>
      <c r="BY26" s="59"/>
      <c r="CB26" s="72" t="s">
        <v>244</v>
      </c>
      <c r="CC26" s="61"/>
      <c r="CD26" s="41"/>
      <c r="CE26" s="41"/>
      <c r="CF26" s="41"/>
      <c r="CG26" s="41"/>
      <c r="CH26" s="41"/>
      <c r="CI26" s="59"/>
    </row>
    <row r="27" spans="58:87" x14ac:dyDescent="0.25">
      <c r="BH27" s="58"/>
      <c r="BI27" s="41"/>
      <c r="BJ27" s="41"/>
      <c r="BK27" s="41"/>
      <c r="BL27" s="41"/>
      <c r="BM27" s="41"/>
      <c r="BN27" s="41"/>
      <c r="BO27" s="59"/>
      <c r="BR27" s="58"/>
      <c r="BS27" s="41"/>
      <c r="BT27" s="41"/>
      <c r="BU27" s="41"/>
      <c r="BV27" s="41"/>
      <c r="BW27" s="41"/>
      <c r="BX27" s="41"/>
      <c r="BY27" s="59"/>
      <c r="CB27" s="58"/>
      <c r="CC27" s="41"/>
      <c r="CD27" s="41"/>
      <c r="CE27" s="41"/>
      <c r="CF27" s="41"/>
      <c r="CG27" s="41"/>
      <c r="CH27" s="41"/>
      <c r="CI27" s="59"/>
    </row>
    <row r="28" spans="58:87" x14ac:dyDescent="0.25">
      <c r="BH28" s="107" t="s">
        <v>245</v>
      </c>
      <c r="BI28" s="108"/>
      <c r="BJ28" s="108"/>
      <c r="BK28" s="108"/>
      <c r="BL28" s="108"/>
      <c r="BM28" s="108"/>
      <c r="BN28" s="108"/>
      <c r="BO28" s="109"/>
      <c r="BR28" s="90" t="s">
        <v>245</v>
      </c>
      <c r="BS28" s="91"/>
      <c r="BT28" s="91"/>
      <c r="BU28" s="91"/>
      <c r="BV28" s="91"/>
      <c r="BW28" s="91"/>
      <c r="BX28" s="91"/>
      <c r="BY28" s="92"/>
      <c r="CB28" s="90" t="s">
        <v>245</v>
      </c>
      <c r="CC28" s="91"/>
      <c r="CD28" s="91"/>
      <c r="CE28" s="91"/>
      <c r="CF28" s="91"/>
      <c r="CG28" s="91"/>
      <c r="CH28" s="91"/>
      <c r="CI28" s="92"/>
    </row>
    <row r="29" spans="58:87" x14ac:dyDescent="0.25">
      <c r="BH29" s="58" t="str">
        <f>CONCATENATE("-16-065"," for cost estimation of the above mentioned project.")</f>
        <v>-16-065 for cost estimation of the above mentioned project.</v>
      </c>
      <c r="BI29" s="41"/>
      <c r="BJ29" s="41"/>
      <c r="BK29" s="41"/>
      <c r="BL29" s="41"/>
      <c r="BM29" s="41"/>
      <c r="BN29" s="41"/>
      <c r="BO29" s="59"/>
      <c r="BR29" s="58" t="str">
        <f>CONCATENATE("-16-065"," for cost estimation of the above mentioned project.")</f>
        <v>-16-065 for cost estimation of the above mentioned project.</v>
      </c>
      <c r="BS29" s="41"/>
      <c r="BT29" s="41"/>
      <c r="BU29" s="41"/>
      <c r="BV29" s="41"/>
      <c r="BW29" s="41"/>
      <c r="BX29" s="41"/>
      <c r="BY29" s="59"/>
      <c r="CB29" s="58" t="str">
        <f>CONCATENATE("-16-065"," for cost estimation of the above mentioned project.")</f>
        <v>-16-065 for cost estimation of the above mentioned project.</v>
      </c>
      <c r="CC29" s="41"/>
      <c r="CD29" s="41"/>
      <c r="CE29" s="41"/>
      <c r="CF29" s="41"/>
      <c r="CG29" s="41"/>
      <c r="CH29" s="41"/>
      <c r="CI29" s="59"/>
    </row>
    <row r="30" spans="58:87" x14ac:dyDescent="0.25">
      <c r="BH30" s="58"/>
      <c r="BI30" s="41"/>
      <c r="BJ30" s="41"/>
      <c r="BK30" s="41"/>
      <c r="BL30" s="41"/>
      <c r="BM30" s="41"/>
      <c r="BN30" s="41"/>
      <c r="BO30" s="59"/>
      <c r="BR30" s="58"/>
      <c r="BS30" s="41"/>
      <c r="BT30" s="41"/>
      <c r="BU30" s="41"/>
      <c r="BV30" s="41"/>
      <c r="BW30" s="41"/>
      <c r="BX30" s="41"/>
      <c r="BY30" s="59"/>
      <c r="CB30" s="58"/>
      <c r="CC30" s="41"/>
      <c r="CD30" s="41"/>
      <c r="CE30" s="41"/>
      <c r="CF30" s="41"/>
      <c r="CG30" s="41"/>
      <c r="CH30" s="41"/>
      <c r="CI30" s="59"/>
    </row>
    <row r="31" spans="58:87" x14ac:dyDescent="0.25">
      <c r="BH31" s="58"/>
      <c r="BI31" s="41"/>
      <c r="BJ31" s="41"/>
      <c r="BK31" s="41"/>
      <c r="BL31" s="41"/>
      <c r="BM31" s="41"/>
      <c r="BN31" s="41"/>
      <c r="BO31" s="59"/>
      <c r="BR31" s="58"/>
      <c r="BS31" s="41"/>
      <c r="BT31" s="41"/>
      <c r="BU31" s="41"/>
      <c r="BV31" s="41"/>
      <c r="BW31" s="41"/>
      <c r="BX31" s="41"/>
      <c r="BY31" s="59"/>
      <c r="CB31" s="58"/>
      <c r="CC31" s="41"/>
      <c r="CD31" s="41"/>
      <c r="CE31" s="41"/>
      <c r="CF31" s="41"/>
      <c r="CG31" s="41"/>
      <c r="CH31" s="41"/>
      <c r="CI31" s="59"/>
    </row>
    <row r="32" spans="58:87" x14ac:dyDescent="0.25">
      <c r="BH32" s="58"/>
      <c r="BI32" s="41"/>
      <c r="BJ32" s="41"/>
      <c r="BK32" s="41"/>
      <c r="BL32" s="41"/>
      <c r="BM32" s="41"/>
      <c r="BN32" s="41"/>
      <c r="BO32" s="59"/>
      <c r="BR32" s="58"/>
      <c r="BS32" s="41"/>
      <c r="BT32" s="41"/>
      <c r="BU32" s="41"/>
      <c r="BV32" s="41"/>
      <c r="BW32" s="41"/>
      <c r="BX32" s="41"/>
      <c r="BY32" s="59"/>
      <c r="CB32" s="58"/>
      <c r="CC32" s="41"/>
      <c r="CD32" s="41"/>
      <c r="CE32" s="41"/>
      <c r="CF32" s="41"/>
      <c r="CG32" s="41"/>
      <c r="CH32" s="41"/>
      <c r="CI32" s="59"/>
    </row>
    <row r="33" spans="60:87" x14ac:dyDescent="0.25">
      <c r="BH33" s="58"/>
      <c r="BI33" s="41"/>
      <c r="BJ33" s="41"/>
      <c r="BK33" s="41"/>
      <c r="BL33" s="41"/>
      <c r="BM33" s="41"/>
      <c r="BN33" s="41"/>
      <c r="BO33" s="59"/>
      <c r="BR33" s="58"/>
      <c r="BS33" s="41"/>
      <c r="BT33" s="41"/>
      <c r="BU33" s="41"/>
      <c r="BV33" s="41"/>
      <c r="BW33" s="41"/>
      <c r="BX33" s="41"/>
      <c r="BY33" s="59"/>
      <c r="CB33" s="58"/>
      <c r="CC33" s="41"/>
      <c r="CD33" s="41"/>
      <c r="CE33" s="41"/>
      <c r="CF33" s="41"/>
      <c r="CG33" s="41"/>
      <c r="CH33" s="41"/>
      <c r="CI33" s="59"/>
    </row>
    <row r="34" spans="60:87" x14ac:dyDescent="0.25">
      <c r="BH34" s="58"/>
      <c r="BI34" s="41"/>
      <c r="BJ34" s="41"/>
      <c r="BK34" s="41"/>
      <c r="BL34" s="41"/>
      <c r="BM34" s="41"/>
      <c r="BN34" s="41"/>
      <c r="BO34" s="59"/>
      <c r="BR34" s="58"/>
      <c r="BS34" s="41"/>
      <c r="BT34" s="41"/>
      <c r="BU34" s="41"/>
      <c r="BV34" s="41"/>
      <c r="BW34" s="41"/>
      <c r="BX34" s="41"/>
      <c r="BY34" s="59"/>
      <c r="CB34" s="58"/>
      <c r="CC34" s="41"/>
      <c r="CD34" s="41"/>
      <c r="CE34" s="41"/>
      <c r="CF34" s="41"/>
      <c r="CG34" s="41"/>
      <c r="CH34" s="41"/>
      <c r="CI34" s="59"/>
    </row>
    <row r="35" spans="60:87" ht="23.25" x14ac:dyDescent="0.5">
      <c r="BH35" s="73" t="s">
        <v>235</v>
      </c>
      <c r="BI35" s="41"/>
      <c r="BJ35" s="41"/>
      <c r="BK35" s="41"/>
      <c r="BL35" s="41"/>
      <c r="BM35" s="41"/>
      <c r="BN35" s="41"/>
      <c r="BO35" s="59"/>
      <c r="BR35" s="73" t="s">
        <v>235</v>
      </c>
      <c r="BS35" s="41"/>
      <c r="BT35" s="41"/>
      <c r="BU35" s="41"/>
      <c r="BV35" s="41"/>
      <c r="BW35" s="41"/>
      <c r="BX35" s="41"/>
      <c r="BY35" s="59"/>
      <c r="CB35" s="73" t="s">
        <v>235</v>
      </c>
      <c r="CC35" s="41"/>
      <c r="CD35" s="41"/>
      <c r="CE35" s="41"/>
      <c r="CF35" s="41"/>
      <c r="CG35" s="41"/>
      <c r="CH35" s="41"/>
      <c r="CI35" s="59"/>
    </row>
    <row r="36" spans="60:87" x14ac:dyDescent="0.25">
      <c r="BH36" s="58"/>
      <c r="BI36" s="41"/>
      <c r="BJ36" s="41"/>
      <c r="BK36" s="41"/>
      <c r="BL36" s="41"/>
      <c r="BM36" s="41"/>
      <c r="BN36" s="41"/>
      <c r="BO36" s="59"/>
      <c r="BR36" s="58"/>
      <c r="BS36" s="41"/>
      <c r="BT36" s="41"/>
      <c r="BU36" s="41"/>
      <c r="BV36" s="41"/>
      <c r="BW36" s="41"/>
      <c r="BX36" s="41"/>
      <c r="BY36" s="59"/>
      <c r="CB36" s="58"/>
      <c r="CC36" s="41"/>
      <c r="CD36" s="41"/>
      <c r="CE36" s="41"/>
      <c r="CF36" s="41"/>
      <c r="CG36" s="41"/>
      <c r="CH36" s="41"/>
      <c r="CI36" s="59"/>
    </row>
    <row r="37" spans="60:87" ht="21.75" x14ac:dyDescent="0.4">
      <c r="BH37" s="71" t="s">
        <v>236</v>
      </c>
      <c r="BI37" s="41"/>
      <c r="BJ37" s="41"/>
      <c r="BK37" s="41"/>
      <c r="BL37" s="41"/>
      <c r="BM37" s="41"/>
      <c r="BN37" s="41"/>
      <c r="BO37" s="59"/>
      <c r="BR37" s="71" t="s">
        <v>236</v>
      </c>
      <c r="BS37" s="41"/>
      <c r="BT37" s="41"/>
      <c r="BU37" s="41"/>
      <c r="BV37" s="41"/>
      <c r="BW37" s="41"/>
      <c r="BX37" s="41"/>
      <c r="BY37" s="59"/>
      <c r="CB37" s="71" t="s">
        <v>236</v>
      </c>
      <c r="CC37" s="41"/>
      <c r="CD37" s="41"/>
      <c r="CE37" s="41"/>
      <c r="CF37" s="41"/>
      <c r="CG37" s="41"/>
      <c r="CH37" s="41"/>
      <c r="CI37" s="59"/>
    </row>
    <row r="38" spans="60:87" ht="21.75" x14ac:dyDescent="0.4">
      <c r="BH38" s="71" t="s">
        <v>237</v>
      </c>
      <c r="BI38" s="41"/>
      <c r="BJ38" s="41"/>
      <c r="BK38" s="41"/>
      <c r="BL38" s="41"/>
      <c r="BM38" s="41"/>
      <c r="BN38" s="41"/>
      <c r="BO38" s="59"/>
      <c r="BR38" s="71" t="s">
        <v>237</v>
      </c>
      <c r="BS38" s="41"/>
      <c r="BT38" s="41"/>
      <c r="BU38" s="41"/>
      <c r="BV38" s="41"/>
      <c r="BW38" s="41"/>
      <c r="BX38" s="41"/>
      <c r="BY38" s="59"/>
      <c r="CB38" s="71" t="s">
        <v>237</v>
      </c>
      <c r="CC38" s="41"/>
      <c r="CD38" s="41"/>
      <c r="CE38" s="41"/>
      <c r="CF38" s="41"/>
      <c r="CG38" s="41"/>
      <c r="CH38" s="41"/>
      <c r="CI38" s="59"/>
    </row>
    <row r="39" spans="60:87" ht="21.75" x14ac:dyDescent="0.4">
      <c r="BH39" s="71" t="s">
        <v>238</v>
      </c>
      <c r="BI39" s="41"/>
      <c r="BJ39" s="41"/>
      <c r="BK39" s="41"/>
      <c r="BL39" s="41"/>
      <c r="BM39" s="41"/>
      <c r="BN39" s="41"/>
      <c r="BO39" s="59"/>
      <c r="BR39" s="71" t="s">
        <v>238</v>
      </c>
      <c r="BS39" s="41"/>
      <c r="BT39" s="41"/>
      <c r="BU39" s="41"/>
      <c r="BV39" s="41"/>
      <c r="BW39" s="41"/>
      <c r="BX39" s="41"/>
      <c r="BY39" s="59"/>
      <c r="CB39" s="71" t="s">
        <v>238</v>
      </c>
      <c r="CC39" s="41"/>
      <c r="CD39" s="41"/>
      <c r="CE39" s="41"/>
      <c r="CF39" s="41"/>
      <c r="CG39" s="41"/>
      <c r="CH39" s="41"/>
      <c r="CI39" s="59"/>
    </row>
    <row r="40" spans="60:87" ht="21.75" x14ac:dyDescent="0.4">
      <c r="BH40" s="71" t="s">
        <v>239</v>
      </c>
      <c r="BI40" s="41"/>
      <c r="BJ40" s="41"/>
      <c r="BK40" s="41"/>
      <c r="BL40" s="41"/>
      <c r="BM40" s="41"/>
      <c r="BN40" s="41"/>
      <c r="BO40" s="59"/>
      <c r="BR40" s="71" t="s">
        <v>239</v>
      </c>
      <c r="BS40" s="41"/>
      <c r="BT40" s="41"/>
      <c r="BU40" s="41"/>
      <c r="BV40" s="41"/>
      <c r="BW40" s="41"/>
      <c r="BX40" s="41"/>
      <c r="BY40" s="59"/>
      <c r="CB40" s="71" t="s">
        <v>239</v>
      </c>
      <c r="CC40" s="41"/>
      <c r="CD40" s="41"/>
      <c r="CE40" s="41"/>
      <c r="CF40" s="41"/>
      <c r="CG40" s="41"/>
      <c r="CH40" s="41"/>
      <c r="CI40" s="59"/>
    </row>
    <row r="41" spans="60:87" ht="15.75" thickBot="1" x14ac:dyDescent="0.3">
      <c r="BH41" s="62"/>
      <c r="BI41" s="63"/>
      <c r="BJ41" s="63"/>
      <c r="BK41" s="63"/>
      <c r="BL41" s="63"/>
      <c r="BM41" s="63"/>
      <c r="BN41" s="63"/>
      <c r="BO41" s="64"/>
      <c r="BR41" s="62"/>
      <c r="BS41" s="63"/>
      <c r="BT41" s="63"/>
      <c r="BU41" s="63"/>
      <c r="BV41" s="63"/>
      <c r="BW41" s="63"/>
      <c r="BX41" s="63"/>
      <c r="BY41" s="64"/>
      <c r="CB41" s="62"/>
      <c r="CC41" s="63"/>
      <c r="CD41" s="63"/>
      <c r="CE41" s="63"/>
      <c r="CF41" s="63"/>
      <c r="CG41" s="63"/>
      <c r="CH41" s="63"/>
      <c r="CI41" s="64"/>
    </row>
  </sheetData>
  <mergeCells count="35">
    <mergeCell ref="AM2:AQ2"/>
    <mergeCell ref="AR2:BA2"/>
    <mergeCell ref="BS13:BY13"/>
    <mergeCell ref="BS16:BU16"/>
    <mergeCell ref="BW16:BY16"/>
    <mergeCell ref="BS20:BY20"/>
    <mergeCell ref="BI8:BO8"/>
    <mergeCell ref="BI10:BO10"/>
    <mergeCell ref="BI9:BO9"/>
    <mergeCell ref="BJ12:BN12"/>
    <mergeCell ref="BI13:BO13"/>
    <mergeCell ref="BI20:BO20"/>
    <mergeCell ref="BI16:BK16"/>
    <mergeCell ref="BM16:BO16"/>
    <mergeCell ref="BS21:BU21"/>
    <mergeCell ref="BR28:BY28"/>
    <mergeCell ref="BT6:BV6"/>
    <mergeCell ref="BJ6:BL6"/>
    <mergeCell ref="CD6:CF6"/>
    <mergeCell ref="CC8:CI8"/>
    <mergeCell ref="CC9:CI9"/>
    <mergeCell ref="CC10:CI10"/>
    <mergeCell ref="CD12:CH12"/>
    <mergeCell ref="CC13:CI13"/>
    <mergeCell ref="BI21:BK21"/>
    <mergeCell ref="BH28:BO28"/>
    <mergeCell ref="BS8:BY8"/>
    <mergeCell ref="BS9:BY9"/>
    <mergeCell ref="BS10:BY10"/>
    <mergeCell ref="BT12:BX12"/>
    <mergeCell ref="CC16:CE16"/>
    <mergeCell ref="CG16:CI16"/>
    <mergeCell ref="CC20:CI20"/>
    <mergeCell ref="CC21:CE21"/>
    <mergeCell ref="CB28:CI28"/>
  </mergeCells>
  <dataValidations disablePrompts="1" count="10">
    <dataValidation type="list" allowBlank="1" showInputMessage="1" showErrorMessage="1" sqref="M4">
      <formula1>paint_d</formula1>
    </dataValidation>
    <dataValidation type="list" allowBlank="1" showInputMessage="1" showErrorMessage="1" sqref="Q4">
      <formula1>sr_d</formula1>
    </dataValidation>
    <dataValidation type="list" allowBlank="1" showInputMessage="1" showErrorMessage="1" sqref="P4">
      <formula1>POST_D</formula1>
    </dataValidation>
    <dataValidation type="list" allowBlank="1" showInputMessage="1" showErrorMessage="1" sqref="O4">
      <formula1>PRE_D</formula1>
    </dataValidation>
    <dataValidation type="list" allowBlank="1" showInputMessage="1" showErrorMessage="1" sqref="N4">
      <formula1>YND</formula1>
    </dataValidation>
    <dataValidation type="list" allowBlank="1" showInputMessage="1" showErrorMessage="1" sqref="L4">
      <formula1>INSUL_D</formula1>
    </dataValidation>
    <dataValidation type="list" allowBlank="1" showInputMessage="1" showErrorMessage="1" sqref="K4">
      <formula1>RTPC</formula1>
    </dataValidation>
    <dataValidation type="list" allowBlank="1" showInputMessage="1" showErrorMessage="1" sqref="J4">
      <formula1>TAX_D</formula1>
    </dataValidation>
    <dataValidation type="list" allowBlank="1" showInputMessage="1" showErrorMessage="1" sqref="B4">
      <formula1>CAT_D</formula1>
    </dataValidation>
    <dataValidation type="list" allowBlank="1" showInputMessage="1" showErrorMessage="1" sqref="E4">
      <formula1>MOCTHK_D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3077" r:id="rId4">
          <objectPr defaultSize="0" autoPict="0" r:id="rId5">
            <anchor moveWithCells="1" sizeWithCells="1">
              <from>
                <xdr:col>0</xdr:col>
                <xdr:colOff>0</xdr:colOff>
                <xdr:row>14</xdr:row>
                <xdr:rowOff>57150</xdr:rowOff>
              </from>
              <to>
                <xdr:col>0</xdr:col>
                <xdr:colOff>523875</xdr:colOff>
                <xdr:row>16</xdr:row>
                <xdr:rowOff>19050</xdr:rowOff>
              </to>
            </anchor>
          </objectPr>
        </oleObject>
      </mc:Choice>
      <mc:Fallback>
        <oleObject progId="MSPhotoEd.3" shapeId="3077" r:id="rId4"/>
      </mc:Fallback>
    </mc:AlternateContent>
    <mc:AlternateContent xmlns:mc="http://schemas.openxmlformats.org/markup-compatibility/2006">
      <mc:Choice Requires="x14">
        <oleObject shapeId="3080" r:id="rId6">
          <objectPr defaultSize="0" autoPict="0" r:id="rId7">
            <anchor moveWithCells="1" sizeWithCells="1">
              <from>
                <xdr:col>79</xdr:col>
                <xdr:colOff>133350</xdr:colOff>
                <xdr:row>7</xdr:row>
                <xdr:rowOff>0</xdr:rowOff>
              </from>
              <to>
                <xdr:col>80</xdr:col>
                <xdr:colOff>0</xdr:colOff>
                <xdr:row>8</xdr:row>
                <xdr:rowOff>152400</xdr:rowOff>
              </to>
            </anchor>
          </objectPr>
        </oleObject>
      </mc:Choice>
      <mc:Fallback>
        <oleObject shapeId="3080" r:id="rId6"/>
      </mc:Fallback>
    </mc:AlternateContent>
    <mc:AlternateContent xmlns:mc="http://schemas.openxmlformats.org/markup-compatibility/2006">
      <mc:Choice Requires="x14">
        <oleObject shapeId="3078" r:id="rId8">
          <objectPr defaultSize="0" autoPict="0" r:id="rId7">
            <anchor moveWithCells="1" sizeWithCells="1">
              <from>
                <xdr:col>59</xdr:col>
                <xdr:colOff>133350</xdr:colOff>
                <xdr:row>7</xdr:row>
                <xdr:rowOff>0</xdr:rowOff>
              </from>
              <to>
                <xdr:col>59</xdr:col>
                <xdr:colOff>657225</xdr:colOff>
                <xdr:row>8</xdr:row>
                <xdr:rowOff>152400</xdr:rowOff>
              </to>
            </anchor>
          </objectPr>
        </oleObject>
      </mc:Choice>
      <mc:Fallback>
        <oleObject shapeId="3078" r:id="rId8"/>
      </mc:Fallback>
    </mc:AlternateContent>
    <mc:AlternateContent xmlns:mc="http://schemas.openxmlformats.org/markup-compatibility/2006">
      <mc:Choice Requires="x14">
        <oleObject shapeId="3079" r:id="rId9">
          <objectPr defaultSize="0" autoPict="0" r:id="rId7">
            <anchor moveWithCells="1" sizeWithCells="1">
              <from>
                <xdr:col>69</xdr:col>
                <xdr:colOff>133350</xdr:colOff>
                <xdr:row>7</xdr:row>
                <xdr:rowOff>0</xdr:rowOff>
              </from>
              <to>
                <xdr:col>69</xdr:col>
                <xdr:colOff>657225</xdr:colOff>
                <xdr:row>8</xdr:row>
                <xdr:rowOff>152400</xdr:rowOff>
              </to>
            </anchor>
          </objectPr>
        </oleObject>
      </mc:Choice>
      <mc:Fallback>
        <oleObject shapeId="3079" r:id="rId9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10" name="Button 1">
              <controlPr defaultSize="0" print="0" autoFill="0" autoPict="0" macro="[1]!dragging1">
                <anchor moveWithCells="1" sizeWithCells="1">
                  <from>
                    <xdr:col>0</xdr:col>
                    <xdr:colOff>66675</xdr:colOff>
                    <xdr:row>0</xdr:row>
                    <xdr:rowOff>38100</xdr:rowOff>
                  </from>
                  <to>
                    <xdr:col>0</xdr:col>
                    <xdr:colOff>514350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11" name="Button 2">
              <controlPr defaultSize="0" print="0" autoFill="0" autoPict="0" macro="[1]!deli">
                <anchor moveWithCells="1" sizeWithCells="1">
                  <from>
                    <xdr:col>0</xdr:col>
                    <xdr:colOff>590550</xdr:colOff>
                    <xdr:row>0</xdr:row>
                    <xdr:rowOff>38100</xdr:rowOff>
                  </from>
                  <to>
                    <xdr:col>2</xdr:col>
                    <xdr:colOff>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F"/>
  <dimension ref="A1:AZ90"/>
  <sheetViews>
    <sheetView topLeftCell="AH2" zoomScaleNormal="100" workbookViewId="0">
      <selection activeCell="AO14" sqref="AO14"/>
    </sheetView>
  </sheetViews>
  <sheetFormatPr defaultRowHeight="15" x14ac:dyDescent="0.25"/>
  <cols>
    <col min="11" max="11" width="8.85546875" customWidth="1"/>
  </cols>
  <sheetData>
    <row r="1" spans="1:52" x14ac:dyDescent="0.25">
      <c r="A1" t="s">
        <v>133</v>
      </c>
      <c r="C1" t="s">
        <v>134</v>
      </c>
      <c r="D1" t="s">
        <v>112</v>
      </c>
      <c r="E1" t="s">
        <v>113</v>
      </c>
      <c r="G1" t="s">
        <v>135</v>
      </c>
      <c r="H1" t="s">
        <v>136</v>
      </c>
      <c r="K1" t="s">
        <v>137</v>
      </c>
      <c r="O1" t="s">
        <v>138</v>
      </c>
      <c r="Q1" t="s">
        <v>139</v>
      </c>
      <c r="S1" t="s">
        <v>140</v>
      </c>
      <c r="Y1" t="s">
        <v>141</v>
      </c>
      <c r="Z1" t="s">
        <v>142</v>
      </c>
    </row>
    <row r="2" spans="1:52" x14ac:dyDescent="0.25">
      <c r="A2" s="7">
        <v>0</v>
      </c>
      <c r="C2" s="8" t="s">
        <v>143</v>
      </c>
      <c r="D2" s="9">
        <v>254.49</v>
      </c>
      <c r="E2" s="9">
        <v>46.94</v>
      </c>
      <c r="F2" s="10"/>
      <c r="G2" s="11" t="s">
        <v>116</v>
      </c>
      <c r="H2" t="s">
        <v>144</v>
      </c>
      <c r="K2" s="12">
        <f>+L32</f>
        <v>0.13454779865615696</v>
      </c>
      <c r="O2" s="13">
        <f>+O12</f>
        <v>0.20546999999999999</v>
      </c>
      <c r="Q2" t="s">
        <v>145</v>
      </c>
      <c r="R2">
        <f>0</f>
        <v>0</v>
      </c>
      <c r="S2" t="s">
        <v>130</v>
      </c>
      <c r="V2" s="14" t="s">
        <v>146</v>
      </c>
      <c r="W2" s="9">
        <f>+(480+520)/2</f>
        <v>500</v>
      </c>
      <c r="X2" s="14" t="s">
        <v>147</v>
      </c>
      <c r="Y2" t="s">
        <v>1</v>
      </c>
      <c r="Z2" t="s">
        <v>130</v>
      </c>
      <c r="AF2" s="5" t="s">
        <v>2</v>
      </c>
      <c r="AI2">
        <v>1</v>
      </c>
      <c r="AK2" t="s">
        <v>87</v>
      </c>
    </row>
    <row r="3" spans="1:52" x14ac:dyDescent="0.25">
      <c r="A3" s="7">
        <v>0.5</v>
      </c>
      <c r="C3" s="8" t="s">
        <v>148</v>
      </c>
      <c r="D3" s="9">
        <v>330.63</v>
      </c>
      <c r="E3" s="9">
        <v>60.49</v>
      </c>
      <c r="F3" s="10"/>
      <c r="G3" s="11" t="s">
        <v>149</v>
      </c>
      <c r="H3" t="s">
        <v>128</v>
      </c>
      <c r="I3" s="15" t="s">
        <v>144</v>
      </c>
      <c r="J3" s="15"/>
      <c r="K3" s="16">
        <v>0.02</v>
      </c>
      <c r="L3" s="17"/>
      <c r="M3" s="15" t="s">
        <v>128</v>
      </c>
      <c r="N3" s="15"/>
      <c r="O3" s="18">
        <v>0.14499999999999999</v>
      </c>
      <c r="Q3" t="s">
        <v>150</v>
      </c>
      <c r="R3">
        <f>1/10</f>
        <v>0.1</v>
      </c>
      <c r="S3" s="14" t="s">
        <v>151</v>
      </c>
      <c r="T3" s="9">
        <v>140</v>
      </c>
      <c r="U3" s="14" t="s">
        <v>147</v>
      </c>
      <c r="V3" s="14"/>
      <c r="W3" s="9"/>
      <c r="X3" s="14"/>
      <c r="Y3" t="s">
        <v>0</v>
      </c>
      <c r="Z3" s="14" t="s">
        <v>152</v>
      </c>
      <c r="AF3" s="3" t="s">
        <v>61</v>
      </c>
      <c r="AI3">
        <v>2</v>
      </c>
      <c r="AK3" t="s">
        <v>88</v>
      </c>
    </row>
    <row r="4" spans="1:52" x14ac:dyDescent="0.25">
      <c r="A4" s="7">
        <v>0.75</v>
      </c>
      <c r="C4" s="8" t="s">
        <v>153</v>
      </c>
      <c r="D4" s="9">
        <v>441.19</v>
      </c>
      <c r="E4" s="9">
        <v>85.53</v>
      </c>
      <c r="G4" s="11" t="s">
        <v>154</v>
      </c>
      <c r="I4" s="15" t="s">
        <v>155</v>
      </c>
      <c r="J4" s="15"/>
      <c r="K4" s="18">
        <v>0.125</v>
      </c>
      <c r="L4" s="17"/>
      <c r="M4" s="15"/>
      <c r="N4" s="15"/>
      <c r="O4" s="16"/>
      <c r="Q4" t="s">
        <v>129</v>
      </c>
      <c r="R4">
        <f>1/5</f>
        <v>0.2</v>
      </c>
      <c r="S4" s="14" t="s">
        <v>156</v>
      </c>
      <c r="T4" s="9">
        <v>150</v>
      </c>
      <c r="U4" s="14" t="s">
        <v>147</v>
      </c>
      <c r="V4" s="14" t="s">
        <v>157</v>
      </c>
      <c r="W4" s="9">
        <v>65</v>
      </c>
      <c r="X4" s="14" t="s">
        <v>147</v>
      </c>
      <c r="Z4" s="14" t="s">
        <v>158</v>
      </c>
      <c r="AF4" s="3" t="s">
        <v>62</v>
      </c>
      <c r="AI4">
        <v>3</v>
      </c>
    </row>
    <row r="5" spans="1:52" x14ac:dyDescent="0.25">
      <c r="A5" s="19">
        <v>1</v>
      </c>
      <c r="C5" s="8" t="s">
        <v>159</v>
      </c>
      <c r="D5" s="20">
        <v>452.66</v>
      </c>
      <c r="E5" s="20">
        <v>54.24</v>
      </c>
      <c r="G5" s="11" t="s">
        <v>160</v>
      </c>
      <c r="I5" s="15" t="s">
        <v>161</v>
      </c>
      <c r="J5" s="15"/>
      <c r="K5" s="16">
        <v>0.02</v>
      </c>
      <c r="L5" s="17"/>
      <c r="M5" s="15" t="s">
        <v>162</v>
      </c>
      <c r="N5" s="15"/>
      <c r="O5" s="16">
        <v>0.03</v>
      </c>
      <c r="Q5" t="s">
        <v>163</v>
      </c>
      <c r="R5">
        <v>1</v>
      </c>
      <c r="S5" s="14" t="s">
        <v>164</v>
      </c>
      <c r="T5" s="9">
        <v>350</v>
      </c>
      <c r="U5" s="14" t="s">
        <v>147</v>
      </c>
      <c r="W5" s="9"/>
      <c r="AF5" s="3" t="s">
        <v>63</v>
      </c>
      <c r="AQ5" s="41"/>
      <c r="AR5" s="41"/>
      <c r="AS5" s="41"/>
      <c r="AT5" s="41"/>
      <c r="AU5" s="41"/>
      <c r="AV5" s="41"/>
      <c r="AW5" s="41"/>
      <c r="AX5" s="41"/>
      <c r="AY5" s="41"/>
      <c r="AZ5" s="41"/>
    </row>
    <row r="6" spans="1:52" ht="31.5" x14ac:dyDescent="0.25">
      <c r="A6" s="19">
        <v>1.5</v>
      </c>
      <c r="C6" s="8" t="s">
        <v>165</v>
      </c>
      <c r="D6" s="20">
        <v>754.09</v>
      </c>
      <c r="E6" s="20">
        <v>69.88</v>
      </c>
      <c r="G6" s="11" t="s">
        <v>118</v>
      </c>
      <c r="I6" s="15"/>
      <c r="J6" s="15"/>
      <c r="K6" s="16"/>
      <c r="L6" s="17"/>
      <c r="M6" s="15" t="s">
        <v>166</v>
      </c>
      <c r="N6" s="15"/>
      <c r="O6" s="16">
        <v>0.01</v>
      </c>
      <c r="S6" s="14" t="s">
        <v>167</v>
      </c>
      <c r="T6" s="9">
        <v>280</v>
      </c>
      <c r="U6" s="14" t="s">
        <v>147</v>
      </c>
      <c r="V6" t="s">
        <v>168</v>
      </c>
      <c r="W6" s="9">
        <v>1390</v>
      </c>
      <c r="X6" t="s">
        <v>147</v>
      </c>
      <c r="AF6" s="5" t="s">
        <v>3</v>
      </c>
      <c r="AQ6" s="41"/>
      <c r="AR6" s="41"/>
      <c r="AS6" s="96" t="s">
        <v>222</v>
      </c>
      <c r="AT6" s="96"/>
      <c r="AU6" s="96"/>
      <c r="AV6" s="96"/>
      <c r="AW6" s="96"/>
      <c r="AX6" s="96"/>
      <c r="AY6" s="96"/>
      <c r="AZ6" s="41"/>
    </row>
    <row r="7" spans="1:52" ht="15.75" x14ac:dyDescent="0.25">
      <c r="A7" s="19">
        <v>2</v>
      </c>
      <c r="C7" s="8" t="s">
        <v>169</v>
      </c>
      <c r="D7" s="20">
        <v>400</v>
      </c>
      <c r="E7" s="20">
        <v>65</v>
      </c>
      <c r="G7" s="11" t="s">
        <v>170</v>
      </c>
      <c r="I7" s="15" t="s">
        <v>162</v>
      </c>
      <c r="J7" s="15"/>
      <c r="K7" s="16">
        <v>0.03</v>
      </c>
      <c r="L7" s="17"/>
      <c r="M7" s="15" t="s">
        <v>171</v>
      </c>
      <c r="N7" s="15"/>
      <c r="O7" s="16">
        <v>0.02</v>
      </c>
      <c r="S7" s="14" t="s">
        <v>172</v>
      </c>
      <c r="T7" s="9">
        <v>450</v>
      </c>
      <c r="U7" s="14" t="s">
        <v>147</v>
      </c>
      <c r="W7" s="9"/>
      <c r="AF7" s="3" t="s">
        <v>64</v>
      </c>
      <c r="AQ7" s="41"/>
      <c r="AR7" s="41"/>
      <c r="AS7" s="98" t="s">
        <v>223</v>
      </c>
      <c r="AT7" s="98"/>
      <c r="AU7" s="98"/>
      <c r="AV7" s="98"/>
      <c r="AW7" s="98"/>
      <c r="AX7" s="98"/>
      <c r="AY7" s="98"/>
      <c r="AZ7" s="41"/>
    </row>
    <row r="8" spans="1:52" ht="19.5" x14ac:dyDescent="0.25">
      <c r="A8" s="19">
        <v>3</v>
      </c>
      <c r="C8" s="8" t="s">
        <v>173</v>
      </c>
      <c r="D8" s="20">
        <v>400</v>
      </c>
      <c r="E8" s="20">
        <v>65</v>
      </c>
      <c r="G8" s="21" t="s">
        <v>119</v>
      </c>
      <c r="I8" s="15" t="s">
        <v>166</v>
      </c>
      <c r="J8" s="15"/>
      <c r="K8" s="16">
        <v>0.03</v>
      </c>
      <c r="L8" s="17"/>
      <c r="M8" s="15" t="s">
        <v>174</v>
      </c>
      <c r="N8" s="15"/>
      <c r="O8" s="22">
        <v>4.6999999999999999E-4</v>
      </c>
      <c r="S8" s="14" t="s">
        <v>175</v>
      </c>
      <c r="T8" s="9">
        <v>400</v>
      </c>
      <c r="U8" s="14" t="s">
        <v>147</v>
      </c>
      <c r="AF8" s="3" t="s">
        <v>65</v>
      </c>
      <c r="AQ8" s="41"/>
      <c r="AR8" s="41"/>
      <c r="AS8" s="100" t="s">
        <v>224</v>
      </c>
      <c r="AT8" s="100"/>
      <c r="AU8" s="100"/>
      <c r="AV8" s="100"/>
      <c r="AW8" s="100"/>
      <c r="AX8" s="100"/>
      <c r="AY8" s="100"/>
      <c r="AZ8" s="41"/>
    </row>
    <row r="9" spans="1:52" x14ac:dyDescent="0.25">
      <c r="A9" s="19">
        <v>4</v>
      </c>
      <c r="C9" s="8" t="s">
        <v>176</v>
      </c>
      <c r="D9" s="20">
        <v>1075</v>
      </c>
      <c r="E9" s="20">
        <v>65</v>
      </c>
      <c r="G9" s="11" t="s">
        <v>177</v>
      </c>
      <c r="I9" s="15" t="s">
        <v>171</v>
      </c>
      <c r="J9" s="15"/>
      <c r="K9" s="16">
        <v>0.02</v>
      </c>
      <c r="L9" s="17"/>
      <c r="M9" s="17"/>
      <c r="N9" s="17"/>
      <c r="O9" s="17"/>
      <c r="S9" s="14" t="s">
        <v>178</v>
      </c>
      <c r="T9" s="9">
        <v>600</v>
      </c>
      <c r="U9" s="14" t="s">
        <v>147</v>
      </c>
      <c r="AF9" s="3" t="s">
        <v>66</v>
      </c>
      <c r="AQ9" s="41"/>
      <c r="AR9" s="41"/>
      <c r="AS9" s="42"/>
      <c r="AT9" s="42"/>
      <c r="AU9" s="42"/>
      <c r="AV9" s="49" t="s">
        <v>225</v>
      </c>
      <c r="AW9" s="42"/>
      <c r="AX9" s="42"/>
      <c r="AY9" s="42"/>
      <c r="AZ9" s="41"/>
    </row>
    <row r="10" spans="1:52" ht="23.25" x14ac:dyDescent="0.25">
      <c r="A10" s="19">
        <v>5</v>
      </c>
      <c r="C10" s="8" t="s">
        <v>179</v>
      </c>
      <c r="D10" s="20">
        <v>1175</v>
      </c>
      <c r="E10" s="20">
        <v>65</v>
      </c>
      <c r="G10" s="11" t="s">
        <v>180</v>
      </c>
      <c r="I10" s="15" t="s">
        <v>174</v>
      </c>
      <c r="J10" s="15"/>
      <c r="K10" s="22">
        <v>4.6999999999999999E-4</v>
      </c>
      <c r="L10" s="17"/>
      <c r="M10" s="23"/>
      <c r="N10" s="23"/>
      <c r="O10" s="24"/>
      <c r="S10" s="14" t="s">
        <v>181</v>
      </c>
      <c r="T10" s="9">
        <v>535</v>
      </c>
      <c r="U10" s="14" t="s">
        <v>147</v>
      </c>
      <c r="AF10" s="3" t="s">
        <v>67</v>
      </c>
      <c r="AQ10" s="41"/>
      <c r="AR10" s="41"/>
      <c r="AS10" s="41"/>
      <c r="AT10" s="102" t="s">
        <v>234</v>
      </c>
      <c r="AU10" s="103"/>
      <c r="AV10" s="103"/>
      <c r="AW10" s="103"/>
      <c r="AX10" s="103"/>
      <c r="AY10" s="41"/>
      <c r="AZ10" s="41"/>
    </row>
    <row r="11" spans="1:52" ht="21" x14ac:dyDescent="0.25">
      <c r="A11" s="19">
        <v>6</v>
      </c>
      <c r="C11" s="9" t="s">
        <v>182</v>
      </c>
      <c r="D11" s="9">
        <v>286.83</v>
      </c>
      <c r="E11" s="9">
        <v>56.32</v>
      </c>
      <c r="G11" s="11" t="s">
        <v>183</v>
      </c>
      <c r="I11" s="17"/>
      <c r="J11" s="17"/>
      <c r="K11" s="17"/>
      <c r="L11" s="17"/>
      <c r="M11" s="17"/>
      <c r="N11" s="17"/>
      <c r="O11" s="17"/>
      <c r="S11" s="14" t="s">
        <v>184</v>
      </c>
      <c r="T11" s="9">
        <v>570</v>
      </c>
      <c r="U11" s="14" t="s">
        <v>147</v>
      </c>
      <c r="AF11" s="3" t="s">
        <v>75</v>
      </c>
      <c r="AQ11" s="41"/>
      <c r="AR11" s="41"/>
      <c r="AS11" s="104" t="s">
        <v>233</v>
      </c>
      <c r="AT11" s="105"/>
      <c r="AU11" s="105"/>
      <c r="AV11" s="105"/>
      <c r="AW11" s="105"/>
      <c r="AX11" s="105"/>
      <c r="AY11" s="105"/>
      <c r="AZ11" s="41"/>
    </row>
    <row r="12" spans="1:52" x14ac:dyDescent="0.25">
      <c r="A12" s="19">
        <v>8</v>
      </c>
      <c r="C12" s="9" t="s">
        <v>185</v>
      </c>
      <c r="D12" s="9">
        <v>362.96</v>
      </c>
      <c r="E12" s="9">
        <v>73.010000000000005</v>
      </c>
      <c r="I12" s="17"/>
      <c r="J12" s="17" t="s">
        <v>186</v>
      </c>
      <c r="K12" s="25">
        <f>SUM(K3:K10)</f>
        <v>0.24546999999999997</v>
      </c>
      <c r="L12" s="17"/>
      <c r="M12" s="17"/>
      <c r="N12" s="17" t="s">
        <v>186</v>
      </c>
      <c r="O12" s="26">
        <f>SUM(O3:O8)</f>
        <v>0.20546999999999999</v>
      </c>
      <c r="S12" s="14" t="s">
        <v>187</v>
      </c>
      <c r="T12" s="9">
        <v>580</v>
      </c>
      <c r="U12" s="14" t="s">
        <v>147</v>
      </c>
      <c r="AF12" s="3" t="s">
        <v>68</v>
      </c>
      <c r="AQ12" s="32"/>
      <c r="AR12" s="32"/>
      <c r="AS12" s="32"/>
      <c r="AT12" s="32"/>
      <c r="AU12" s="32"/>
      <c r="AV12" s="32"/>
      <c r="AW12" s="32"/>
      <c r="AX12" s="32"/>
      <c r="AY12" s="32"/>
      <c r="AZ12" s="32"/>
    </row>
    <row r="13" spans="1:52" ht="15.75" x14ac:dyDescent="0.25">
      <c r="A13" s="19">
        <v>10</v>
      </c>
      <c r="C13" s="9" t="s">
        <v>188</v>
      </c>
      <c r="D13" s="9">
        <v>473.52</v>
      </c>
      <c r="E13" s="9">
        <v>102.21</v>
      </c>
      <c r="S13" s="14" t="s">
        <v>189</v>
      </c>
      <c r="T13" s="9">
        <v>585</v>
      </c>
      <c r="U13" s="14" t="s">
        <v>147</v>
      </c>
      <c r="AF13" s="3" t="s">
        <v>76</v>
      </c>
      <c r="AQ13" s="32"/>
      <c r="AR13" s="32"/>
      <c r="AS13" s="32"/>
      <c r="AT13" s="29" t="s">
        <v>227</v>
      </c>
      <c r="AU13" s="29"/>
      <c r="AV13" s="29"/>
      <c r="AW13" s="29"/>
      <c r="AX13" s="29"/>
      <c r="AY13" s="29"/>
      <c r="AZ13" s="32"/>
    </row>
    <row r="14" spans="1:52" ht="36" x14ac:dyDescent="0.35">
      <c r="A14" s="19">
        <v>12</v>
      </c>
      <c r="C14" s="9" t="s">
        <v>190</v>
      </c>
      <c r="D14" s="20">
        <v>500.64</v>
      </c>
      <c r="E14" s="20">
        <v>64.67</v>
      </c>
      <c r="S14" s="14" t="s">
        <v>191</v>
      </c>
      <c r="T14" s="9">
        <v>720</v>
      </c>
      <c r="U14" s="14" t="s">
        <v>147</v>
      </c>
      <c r="V14" s="14"/>
      <c r="X14" s="9"/>
      <c r="Y14" s="14"/>
      <c r="AF14" s="3" t="s">
        <v>69</v>
      </c>
      <c r="AQ14" s="32"/>
      <c r="AR14" s="48" t="s">
        <v>229</v>
      </c>
      <c r="AS14" s="81" t="s">
        <v>228</v>
      </c>
      <c r="AT14" s="82"/>
      <c r="AU14" s="83"/>
      <c r="AV14" s="47" t="s">
        <v>231</v>
      </c>
      <c r="AW14" s="84" t="s">
        <v>232</v>
      </c>
      <c r="AX14" s="85"/>
      <c r="AY14" s="113"/>
      <c r="AZ14" s="32"/>
    </row>
    <row r="15" spans="1:52" ht="19.5" x14ac:dyDescent="0.35">
      <c r="A15" s="19">
        <v>14</v>
      </c>
      <c r="C15" s="9" t="s">
        <v>192</v>
      </c>
      <c r="D15" s="20">
        <v>802.07</v>
      </c>
      <c r="E15" s="20">
        <v>83.44</v>
      </c>
      <c r="I15" t="s">
        <v>193</v>
      </c>
      <c r="S15" s="14" t="s">
        <v>194</v>
      </c>
      <c r="T15" s="9">
        <v>750</v>
      </c>
      <c r="U15" s="14" t="s">
        <v>147</v>
      </c>
      <c r="AF15" s="3" t="s">
        <v>70</v>
      </c>
      <c r="AQ15" s="32"/>
      <c r="AR15" s="43" t="s">
        <v>230</v>
      </c>
      <c r="AS15" s="46"/>
      <c r="AT15" s="44"/>
      <c r="AU15" s="44"/>
      <c r="AV15" s="44"/>
      <c r="AW15" s="44"/>
      <c r="AX15" s="44"/>
      <c r="AY15" s="45"/>
      <c r="AZ15" s="32"/>
    </row>
    <row r="16" spans="1:52" x14ac:dyDescent="0.25">
      <c r="A16" s="19">
        <v>16</v>
      </c>
      <c r="C16" s="9" t="s">
        <v>195</v>
      </c>
      <c r="D16" s="20">
        <v>400</v>
      </c>
      <c r="E16" s="20">
        <v>65</v>
      </c>
      <c r="S16" s="14" t="s">
        <v>196</v>
      </c>
      <c r="T16" s="9">
        <v>750</v>
      </c>
      <c r="U16" s="14" t="s">
        <v>147</v>
      </c>
      <c r="AF16" s="3" t="s">
        <v>71</v>
      </c>
      <c r="AQ16" s="32"/>
      <c r="AR16" s="32"/>
      <c r="AS16" s="32"/>
      <c r="AT16" s="32"/>
      <c r="AU16" s="32"/>
      <c r="AV16" s="32"/>
      <c r="AW16" s="32"/>
      <c r="AX16" s="32"/>
      <c r="AY16" s="32"/>
      <c r="AZ16" s="32"/>
    </row>
    <row r="17" spans="1:52" x14ac:dyDescent="0.25">
      <c r="A17" s="19">
        <v>18</v>
      </c>
      <c r="C17" s="9" t="s">
        <v>197</v>
      </c>
      <c r="D17" s="20">
        <v>400</v>
      </c>
      <c r="E17" s="20">
        <v>65</v>
      </c>
      <c r="I17" t="s">
        <v>198</v>
      </c>
      <c r="K17">
        <v>1</v>
      </c>
      <c r="S17" s="14" t="s">
        <v>199</v>
      </c>
      <c r="T17" s="9">
        <v>750</v>
      </c>
      <c r="U17" s="14" t="s">
        <v>147</v>
      </c>
      <c r="AF17" s="5" t="s">
        <v>4</v>
      </c>
      <c r="AQ17" s="32"/>
      <c r="AR17" s="32"/>
      <c r="AS17" s="32"/>
      <c r="AT17" s="32"/>
      <c r="AU17" s="32"/>
      <c r="AV17" s="32"/>
      <c r="AW17" s="32"/>
      <c r="AX17" s="32"/>
      <c r="AY17" s="32"/>
      <c r="AZ17" s="32"/>
    </row>
    <row r="18" spans="1:52" ht="43.5" x14ac:dyDescent="0.4">
      <c r="A18" s="19">
        <v>20</v>
      </c>
      <c r="C18" s="9" t="s">
        <v>200</v>
      </c>
      <c r="D18" s="20">
        <v>1075</v>
      </c>
      <c r="E18" s="20">
        <v>65</v>
      </c>
      <c r="I18" t="s">
        <v>162</v>
      </c>
      <c r="L18">
        <f>+K17*K7</f>
        <v>0.03</v>
      </c>
      <c r="S18" s="14" t="s">
        <v>201</v>
      </c>
      <c r="T18" s="9">
        <v>140</v>
      </c>
      <c r="U18" s="14" t="s">
        <v>147</v>
      </c>
      <c r="AF18" s="5" t="s">
        <v>5</v>
      </c>
      <c r="AQ18" s="32"/>
      <c r="AR18" s="54" t="s">
        <v>240</v>
      </c>
      <c r="AS18" s="111" t="s">
        <v>243</v>
      </c>
      <c r="AT18" s="111"/>
      <c r="AU18" s="111"/>
      <c r="AV18" s="111"/>
      <c r="AW18" s="111"/>
      <c r="AX18" s="111"/>
      <c r="AY18" s="111"/>
      <c r="AZ18" s="32"/>
    </row>
    <row r="19" spans="1:52" ht="43.5" x14ac:dyDescent="0.4">
      <c r="A19" s="19">
        <v>22</v>
      </c>
      <c r="C19" s="9" t="s">
        <v>202</v>
      </c>
      <c r="D19" s="20">
        <v>1175</v>
      </c>
      <c r="E19" s="20">
        <v>65</v>
      </c>
      <c r="I19" t="s">
        <v>203</v>
      </c>
      <c r="L19">
        <f>+(K17+L18)*K8</f>
        <v>3.09E-2</v>
      </c>
      <c r="S19" s="14" t="s">
        <v>204</v>
      </c>
      <c r="T19" s="9">
        <v>150</v>
      </c>
      <c r="U19" s="14" t="s">
        <v>147</v>
      </c>
      <c r="AF19" s="3" t="s">
        <v>72</v>
      </c>
      <c r="AQ19" s="32"/>
      <c r="AR19" s="54" t="s">
        <v>241</v>
      </c>
      <c r="AS19" s="112" t="s">
        <v>242</v>
      </c>
      <c r="AT19" s="112"/>
      <c r="AU19" s="112"/>
      <c r="AV19" s="32"/>
      <c r="AW19" s="32"/>
      <c r="AX19" s="32"/>
      <c r="AY19" s="32"/>
      <c r="AZ19" s="32"/>
    </row>
    <row r="20" spans="1:52" x14ac:dyDescent="0.25">
      <c r="A20" s="19">
        <v>24</v>
      </c>
      <c r="I20" t="s">
        <v>205</v>
      </c>
      <c r="L20">
        <f>+K4*(K17+L18+L19)</f>
        <v>0.13261249999999999</v>
      </c>
      <c r="S20" s="14" t="s">
        <v>206</v>
      </c>
      <c r="T20" s="9">
        <v>340</v>
      </c>
      <c r="U20" s="14" t="s">
        <v>147</v>
      </c>
      <c r="AF20" s="3" t="s">
        <v>73</v>
      </c>
      <c r="AQ20" s="32"/>
      <c r="AR20" s="32"/>
      <c r="AS20" s="32"/>
      <c r="AT20" s="32"/>
      <c r="AU20" s="32"/>
      <c r="AV20" s="32"/>
      <c r="AW20" s="32"/>
      <c r="AX20" s="32"/>
      <c r="AY20" s="32"/>
      <c r="AZ20" s="32"/>
    </row>
    <row r="21" spans="1:52" x14ac:dyDescent="0.25">
      <c r="A21" s="19">
        <v>26</v>
      </c>
      <c r="C21" s="9"/>
      <c r="I21" t="s">
        <v>144</v>
      </c>
      <c r="L21">
        <f>(K17+L18+L19+L20)*K3</f>
        <v>2.3870249999999999E-2</v>
      </c>
      <c r="S21" s="14" t="s">
        <v>207</v>
      </c>
      <c r="T21" s="9">
        <v>340</v>
      </c>
      <c r="U21" s="14" t="s">
        <v>147</v>
      </c>
      <c r="AF21" s="3" t="s">
        <v>77</v>
      </c>
      <c r="AQ21" s="32"/>
      <c r="AR21" s="32"/>
      <c r="AS21" s="32"/>
      <c r="AT21" s="32"/>
      <c r="AU21" s="32"/>
      <c r="AV21" s="32"/>
      <c r="AW21" s="32"/>
      <c r="AX21" s="32"/>
      <c r="AY21" s="32"/>
      <c r="AZ21" s="32"/>
    </row>
    <row r="22" spans="1:52" ht="21.75" x14ac:dyDescent="0.4">
      <c r="A22" s="19">
        <v>28</v>
      </c>
      <c r="I22" t="s">
        <v>171</v>
      </c>
      <c r="L22">
        <f>+K9*(K17+L18+L19+L20+L21)</f>
        <v>2.4347655000000003E-2</v>
      </c>
      <c r="S22" s="14" t="s">
        <v>208</v>
      </c>
      <c r="T22" s="9">
        <v>440</v>
      </c>
      <c r="U22" s="14" t="s">
        <v>147</v>
      </c>
      <c r="AF22" s="5" t="s">
        <v>6</v>
      </c>
      <c r="AQ22" s="32"/>
      <c r="AR22" s="51" t="s">
        <v>226</v>
      </c>
      <c r="AS22" s="51"/>
      <c r="AT22" s="32"/>
      <c r="AU22" s="32"/>
      <c r="AV22" s="32"/>
      <c r="AW22" s="32"/>
      <c r="AX22" s="32"/>
      <c r="AY22" s="32"/>
      <c r="AZ22" s="32"/>
    </row>
    <row r="23" spans="1:52" ht="21.75" x14ac:dyDescent="0.4">
      <c r="A23" s="19">
        <v>30</v>
      </c>
      <c r="C23" s="9"/>
      <c r="S23" s="14" t="s">
        <v>209</v>
      </c>
      <c r="T23" s="9">
        <v>445</v>
      </c>
      <c r="U23" s="14" t="s">
        <v>147</v>
      </c>
      <c r="AF23" s="3" t="s">
        <v>78</v>
      </c>
      <c r="AQ23" s="32"/>
      <c r="AR23" s="52" t="str">
        <f>CONCATENATE("परियोजना संख्या"," P-16-055",  "संबंधित प्रक्रिया एवं अभियांत्रिकी आरेख  और यांत्रिकरण  डेटा")</f>
        <v>परियोजना संख्या P-16-055संबंधित प्रक्रिया एवं अभियांत्रिकी आरेख  और यांत्रिकरण  डेटा</v>
      </c>
      <c r="AS23" s="51"/>
      <c r="AT23" s="32"/>
      <c r="AU23" s="32"/>
      <c r="AV23" s="32"/>
      <c r="AW23" s="32"/>
      <c r="AX23" s="32"/>
      <c r="AY23" s="32"/>
      <c r="AZ23" s="32"/>
    </row>
    <row r="24" spans="1:52" ht="21.75" x14ac:dyDescent="0.4">
      <c r="A24" s="19">
        <v>32</v>
      </c>
      <c r="I24" t="s">
        <v>210</v>
      </c>
      <c r="L24">
        <f>+K17+SUM(L18:L22)</f>
        <v>1.241730405</v>
      </c>
      <c r="S24" s="14" t="s">
        <v>211</v>
      </c>
      <c r="T24" s="9">
        <v>560</v>
      </c>
      <c r="U24" s="14" t="s">
        <v>147</v>
      </c>
      <c r="AF24" s="3" t="s">
        <v>79</v>
      </c>
      <c r="AQ24" s="32"/>
      <c r="AR24" s="52" t="s">
        <v>244</v>
      </c>
      <c r="AS24" s="51"/>
      <c r="AT24" s="32"/>
      <c r="AU24" s="32"/>
      <c r="AV24" s="32"/>
      <c r="AW24" s="32"/>
      <c r="AX24" s="32"/>
      <c r="AY24" s="32"/>
      <c r="AZ24" s="32"/>
    </row>
    <row r="25" spans="1:52" x14ac:dyDescent="0.25">
      <c r="A25" s="27">
        <v>34</v>
      </c>
      <c r="C25" s="9"/>
      <c r="I25" t="s">
        <v>174</v>
      </c>
      <c r="L25">
        <f>+K10*L24</f>
        <v>5.8361329034999998E-4</v>
      </c>
      <c r="S25" s="14" t="s">
        <v>212</v>
      </c>
      <c r="T25" s="9">
        <v>565</v>
      </c>
      <c r="U25" s="14" t="s">
        <v>147</v>
      </c>
      <c r="AF25" s="3" t="s">
        <v>80</v>
      </c>
      <c r="AQ25" s="32"/>
      <c r="AR25" s="32"/>
      <c r="AS25" s="32"/>
      <c r="AT25" s="32"/>
      <c r="AU25" s="32"/>
      <c r="AV25" s="32"/>
      <c r="AW25" s="32"/>
      <c r="AX25" s="32"/>
      <c r="AY25" s="32"/>
      <c r="AZ25" s="32"/>
    </row>
    <row r="26" spans="1:52" x14ac:dyDescent="0.25">
      <c r="A26" s="27">
        <v>36</v>
      </c>
      <c r="I26" t="s">
        <v>213</v>
      </c>
      <c r="L26">
        <f>+K5*(L24+L25)</f>
        <v>2.4846280365807001E-2</v>
      </c>
      <c r="S26" s="14" t="s">
        <v>214</v>
      </c>
      <c r="T26" s="9">
        <v>570</v>
      </c>
      <c r="U26" s="14" t="s">
        <v>147</v>
      </c>
      <c r="AF26" s="3" t="s">
        <v>74</v>
      </c>
      <c r="AQ26" s="32"/>
      <c r="AR26" s="50" t="s">
        <v>245</v>
      </c>
      <c r="AS26" s="32"/>
      <c r="AT26" s="32"/>
      <c r="AU26" s="32"/>
      <c r="AV26" s="32"/>
      <c r="AW26" s="32"/>
      <c r="AX26" s="32"/>
      <c r="AY26" s="32"/>
      <c r="AZ26" s="32"/>
    </row>
    <row r="27" spans="1:52" x14ac:dyDescent="0.25">
      <c r="A27" s="27">
        <v>38</v>
      </c>
      <c r="C27" s="9"/>
      <c r="S27" s="14" t="s">
        <v>215</v>
      </c>
      <c r="T27" s="9">
        <v>600</v>
      </c>
      <c r="U27" s="14" t="s">
        <v>147</v>
      </c>
      <c r="AF27" s="3" t="s">
        <v>81</v>
      </c>
      <c r="AQ27" s="32"/>
      <c r="AR27" s="32" t="str">
        <f>CONCATENATE("-16-065"," for costes timation of the above mentioned project.")</f>
        <v>-16-065 for costes timation of the above mentioned project.</v>
      </c>
      <c r="AS27" s="32"/>
      <c r="AT27" s="32"/>
      <c r="AU27" s="32"/>
      <c r="AV27" s="32"/>
      <c r="AW27" s="32"/>
      <c r="AX27" s="32"/>
      <c r="AY27" s="32"/>
      <c r="AZ27" s="32"/>
    </row>
    <row r="28" spans="1:52" x14ac:dyDescent="0.25">
      <c r="A28" s="27">
        <v>40</v>
      </c>
      <c r="I28" t="s">
        <v>216</v>
      </c>
      <c r="L28">
        <f>-L20</f>
        <v>-0.13261249999999999</v>
      </c>
      <c r="S28" s="14" t="s">
        <v>217</v>
      </c>
      <c r="T28" s="9">
        <v>610</v>
      </c>
      <c r="U28" s="14" t="s">
        <v>147</v>
      </c>
      <c r="AF28" s="3" t="s">
        <v>39</v>
      </c>
      <c r="AQ28" s="32"/>
      <c r="AR28" s="32"/>
      <c r="AS28" s="32"/>
      <c r="AT28" s="32"/>
      <c r="AU28" s="32"/>
      <c r="AV28" s="32"/>
      <c r="AW28" s="32"/>
      <c r="AX28" s="32"/>
      <c r="AY28" s="32"/>
      <c r="AZ28" s="32"/>
    </row>
    <row r="29" spans="1:52" x14ac:dyDescent="0.25">
      <c r="A29" s="27">
        <v>42</v>
      </c>
      <c r="S29" s="14" t="s">
        <v>218</v>
      </c>
      <c r="T29" s="9">
        <v>730</v>
      </c>
      <c r="U29" s="14" t="s">
        <v>147</v>
      </c>
      <c r="AF29" s="3" t="s">
        <v>82</v>
      </c>
      <c r="AQ29" s="32"/>
      <c r="AR29" s="32"/>
      <c r="AS29" s="32"/>
      <c r="AT29" s="32"/>
      <c r="AU29" s="32"/>
      <c r="AV29" s="32"/>
      <c r="AW29" s="32"/>
      <c r="AX29" s="32"/>
      <c r="AY29" s="32"/>
      <c r="AZ29" s="32"/>
    </row>
    <row r="30" spans="1:52" x14ac:dyDescent="0.25">
      <c r="A30" s="27">
        <v>44</v>
      </c>
      <c r="I30" t="s">
        <v>219</v>
      </c>
      <c r="L30">
        <f>+L24+L25+L26+L28</f>
        <v>1.134547798656157</v>
      </c>
      <c r="S30" s="14" t="s">
        <v>220</v>
      </c>
      <c r="T30" s="9">
        <v>900</v>
      </c>
      <c r="U30" s="14" t="s">
        <v>147</v>
      </c>
      <c r="AF30" s="3" t="s">
        <v>83</v>
      </c>
      <c r="AQ30" s="32"/>
      <c r="AR30" s="32"/>
      <c r="AS30" s="32"/>
      <c r="AT30" s="32"/>
      <c r="AU30" s="32"/>
      <c r="AV30" s="32"/>
      <c r="AW30" s="32"/>
      <c r="AX30" s="32"/>
      <c r="AY30" s="32"/>
      <c r="AZ30" s="32"/>
    </row>
    <row r="31" spans="1:52" x14ac:dyDescent="0.25">
      <c r="A31" s="27">
        <v>46</v>
      </c>
      <c r="L31" s="28">
        <f>+L30</f>
        <v>1.134547798656157</v>
      </c>
      <c r="S31" s="14" t="s">
        <v>221</v>
      </c>
      <c r="T31" s="9">
        <v>900</v>
      </c>
      <c r="U31" s="14" t="s">
        <v>147</v>
      </c>
      <c r="AF31" s="3" t="s">
        <v>84</v>
      </c>
      <c r="AQ31" s="32"/>
      <c r="AR31" s="32"/>
      <c r="AS31" s="32"/>
      <c r="AT31" s="32"/>
      <c r="AU31" s="32"/>
      <c r="AV31" s="32"/>
      <c r="AW31" s="32"/>
      <c r="AX31" s="32"/>
      <c r="AY31" s="32"/>
      <c r="AZ31" s="32"/>
    </row>
    <row r="32" spans="1:52" x14ac:dyDescent="0.25">
      <c r="A32" s="27">
        <v>48</v>
      </c>
      <c r="L32" s="28">
        <f>+L31-100%</f>
        <v>0.13454779865615696</v>
      </c>
      <c r="T32" s="9"/>
      <c r="AF32" s="3" t="s">
        <v>55</v>
      </c>
      <c r="AQ32" s="32"/>
      <c r="AR32" s="32"/>
      <c r="AS32" s="32"/>
      <c r="AT32" s="32"/>
      <c r="AU32" s="32"/>
      <c r="AV32" s="32"/>
      <c r="AW32" s="32"/>
      <c r="AX32" s="32"/>
      <c r="AY32" s="32"/>
      <c r="AZ32" s="32"/>
    </row>
    <row r="33" spans="1:52" ht="23.25" x14ac:dyDescent="0.5">
      <c r="A33" s="27">
        <v>50</v>
      </c>
      <c r="C33" s="9"/>
      <c r="T33" s="9"/>
      <c r="AF33" s="3" t="s">
        <v>85</v>
      </c>
      <c r="AQ33" s="32"/>
      <c r="AR33" s="53" t="s">
        <v>235</v>
      </c>
      <c r="AS33" s="32"/>
      <c r="AT33" s="32"/>
      <c r="AU33" s="32"/>
      <c r="AV33" s="32"/>
      <c r="AW33" s="32"/>
      <c r="AX33" s="32"/>
      <c r="AY33" s="32"/>
      <c r="AZ33" s="32"/>
    </row>
    <row r="34" spans="1:52" x14ac:dyDescent="0.25">
      <c r="A34" s="27">
        <v>52</v>
      </c>
      <c r="T34" s="9"/>
      <c r="AF34" s="3" t="s">
        <v>85</v>
      </c>
      <c r="AQ34" s="32"/>
      <c r="AR34" s="32"/>
      <c r="AS34" s="32"/>
      <c r="AT34" s="32"/>
      <c r="AU34" s="32"/>
      <c r="AV34" s="32"/>
      <c r="AW34" s="32"/>
      <c r="AX34" s="32"/>
      <c r="AY34" s="32"/>
      <c r="AZ34" s="32"/>
    </row>
    <row r="35" spans="1:52" ht="21.75" x14ac:dyDescent="0.4">
      <c r="A35" s="27">
        <v>54</v>
      </c>
      <c r="C35" s="9"/>
      <c r="AF35" s="5" t="s">
        <v>7</v>
      </c>
      <c r="AQ35" s="32"/>
      <c r="AR35" s="51" t="s">
        <v>236</v>
      </c>
      <c r="AS35" s="32"/>
      <c r="AT35" s="32"/>
      <c r="AU35" s="32"/>
      <c r="AV35" s="32"/>
      <c r="AW35" s="32"/>
      <c r="AX35" s="32"/>
      <c r="AY35" s="32"/>
      <c r="AZ35" s="32"/>
    </row>
    <row r="36" spans="1:52" x14ac:dyDescent="0.25">
      <c r="A36" s="27">
        <v>56</v>
      </c>
      <c r="AF36" s="3" t="s">
        <v>86</v>
      </c>
      <c r="AQ36" s="32"/>
      <c r="AR36" s="32"/>
      <c r="AS36" s="32"/>
      <c r="AT36" s="32"/>
      <c r="AU36" s="32"/>
      <c r="AV36" s="32"/>
      <c r="AW36" s="32"/>
      <c r="AX36" s="32"/>
      <c r="AY36" s="32"/>
      <c r="AZ36" s="32"/>
    </row>
    <row r="37" spans="1:52" ht="21.75" x14ac:dyDescent="0.4">
      <c r="A37" s="27">
        <v>58</v>
      </c>
      <c r="C37" s="9"/>
      <c r="AF37" s="5" t="s">
        <v>8</v>
      </c>
      <c r="AQ37" s="32"/>
      <c r="AR37" s="51" t="s">
        <v>237</v>
      </c>
      <c r="AS37" s="32"/>
      <c r="AT37" s="32"/>
      <c r="AU37" s="32"/>
      <c r="AV37" s="32"/>
      <c r="AW37" s="32"/>
      <c r="AX37" s="32"/>
      <c r="AY37" s="32"/>
      <c r="AZ37" s="32"/>
    </row>
    <row r="38" spans="1:52" ht="21.75" x14ac:dyDescent="0.4">
      <c r="A38" s="27">
        <v>60</v>
      </c>
      <c r="AF38" s="5" t="s">
        <v>9</v>
      </c>
      <c r="AQ38" s="32"/>
      <c r="AR38" s="51"/>
      <c r="AS38" s="32"/>
      <c r="AT38" s="32"/>
      <c r="AU38" s="32"/>
      <c r="AV38" s="32"/>
      <c r="AW38" s="32"/>
      <c r="AX38" s="32"/>
      <c r="AY38" s="32"/>
      <c r="AZ38" s="32"/>
    </row>
    <row r="39" spans="1:52" ht="21.75" x14ac:dyDescent="0.4">
      <c r="A39" s="27">
        <v>62</v>
      </c>
      <c r="AF39" s="5" t="s">
        <v>10</v>
      </c>
      <c r="AQ39" s="32"/>
      <c r="AR39" s="51" t="s">
        <v>238</v>
      </c>
      <c r="AS39" s="32"/>
      <c r="AT39" s="32"/>
      <c r="AU39" s="32"/>
      <c r="AV39" s="32"/>
      <c r="AW39" s="32"/>
      <c r="AX39" s="32"/>
      <c r="AY39" s="32"/>
      <c r="AZ39" s="32"/>
    </row>
    <row r="40" spans="1:52" ht="21.75" x14ac:dyDescent="0.4">
      <c r="A40" s="27">
        <v>64</v>
      </c>
      <c r="AF40" s="5" t="s">
        <v>11</v>
      </c>
      <c r="AQ40" s="32"/>
      <c r="AR40" s="51" t="s">
        <v>239</v>
      </c>
      <c r="AS40" s="32"/>
      <c r="AT40" s="32"/>
      <c r="AU40" s="32"/>
      <c r="AV40" s="32"/>
      <c r="AW40" s="32"/>
      <c r="AX40" s="32"/>
      <c r="AY40" s="32"/>
      <c r="AZ40" s="32"/>
    </row>
    <row r="41" spans="1:52" x14ac:dyDescent="0.25">
      <c r="A41" s="27">
        <v>66</v>
      </c>
      <c r="AF41" s="5" t="s">
        <v>12</v>
      </c>
      <c r="AQ41" s="32"/>
      <c r="AR41" s="32"/>
      <c r="AS41" s="32"/>
      <c r="AT41" s="32"/>
      <c r="AU41" s="32"/>
      <c r="AV41" s="32"/>
      <c r="AW41" s="32"/>
      <c r="AX41" s="32"/>
      <c r="AY41" s="32"/>
      <c r="AZ41" s="32"/>
    </row>
    <row r="42" spans="1:52" x14ac:dyDescent="0.25">
      <c r="A42" s="27">
        <v>68</v>
      </c>
      <c r="AF42" s="5" t="s">
        <v>13</v>
      </c>
    </row>
    <row r="43" spans="1:52" x14ac:dyDescent="0.25">
      <c r="A43" s="27">
        <v>70</v>
      </c>
      <c r="AF43" s="5" t="s">
        <v>14</v>
      </c>
    </row>
    <row r="44" spans="1:52" x14ac:dyDescent="0.25">
      <c r="AF44" s="5" t="s">
        <v>15</v>
      </c>
    </row>
    <row r="45" spans="1:52" x14ac:dyDescent="0.25">
      <c r="AF45" s="5" t="s">
        <v>16</v>
      </c>
    </row>
    <row r="46" spans="1:52" x14ac:dyDescent="0.25">
      <c r="AF46" s="5" t="s">
        <v>17</v>
      </c>
    </row>
    <row r="47" spans="1:52" x14ac:dyDescent="0.25">
      <c r="AF47" s="5" t="s">
        <v>18</v>
      </c>
    </row>
    <row r="48" spans="1:52" x14ac:dyDescent="0.25">
      <c r="AF48" s="5" t="s">
        <v>19</v>
      </c>
    </row>
    <row r="49" spans="32:32" x14ac:dyDescent="0.25">
      <c r="AF49" s="3" t="s">
        <v>20</v>
      </c>
    </row>
    <row r="50" spans="32:32" x14ac:dyDescent="0.25">
      <c r="AF50" s="5" t="s">
        <v>21</v>
      </c>
    </row>
    <row r="51" spans="32:32" x14ac:dyDescent="0.25">
      <c r="AF51" s="5" t="s">
        <v>22</v>
      </c>
    </row>
    <row r="52" spans="32:32" x14ac:dyDescent="0.25">
      <c r="AF52" s="3" t="s">
        <v>23</v>
      </c>
    </row>
    <row r="53" spans="32:32" x14ac:dyDescent="0.25">
      <c r="AF53" s="5" t="s">
        <v>24</v>
      </c>
    </row>
    <row r="54" spans="32:32" x14ac:dyDescent="0.25">
      <c r="AF54" s="5" t="s">
        <v>25</v>
      </c>
    </row>
    <row r="55" spans="32:32" x14ac:dyDescent="0.25">
      <c r="AF55" s="5" t="s">
        <v>26</v>
      </c>
    </row>
    <row r="56" spans="32:32" x14ac:dyDescent="0.25">
      <c r="AF56" s="5" t="s">
        <v>27</v>
      </c>
    </row>
    <row r="57" spans="32:32" x14ac:dyDescent="0.25">
      <c r="AF57" s="5" t="s">
        <v>28</v>
      </c>
    </row>
    <row r="58" spans="32:32" x14ac:dyDescent="0.25">
      <c r="AF58" s="5" t="s">
        <v>29</v>
      </c>
    </row>
    <row r="59" spans="32:32" x14ac:dyDescent="0.25">
      <c r="AF59" s="5" t="s">
        <v>30</v>
      </c>
    </row>
    <row r="60" spans="32:32" x14ac:dyDescent="0.25">
      <c r="AF60" s="5" t="s">
        <v>31</v>
      </c>
    </row>
    <row r="61" spans="32:32" x14ac:dyDescent="0.25">
      <c r="AF61" s="5" t="s">
        <v>32</v>
      </c>
    </row>
    <row r="62" spans="32:32" x14ac:dyDescent="0.25">
      <c r="AF62" s="5" t="s">
        <v>33</v>
      </c>
    </row>
    <row r="63" spans="32:32" x14ac:dyDescent="0.25">
      <c r="AF63" s="5" t="s">
        <v>34</v>
      </c>
    </row>
    <row r="64" spans="32:32" x14ac:dyDescent="0.25">
      <c r="AF64" s="5" t="s">
        <v>35</v>
      </c>
    </row>
    <row r="65" spans="32:32" x14ac:dyDescent="0.25">
      <c r="AF65" s="5" t="s">
        <v>36</v>
      </c>
    </row>
    <row r="66" spans="32:32" x14ac:dyDescent="0.25">
      <c r="AF66" s="5" t="s">
        <v>37</v>
      </c>
    </row>
    <row r="67" spans="32:32" x14ac:dyDescent="0.25">
      <c r="AF67" s="5" t="s">
        <v>38</v>
      </c>
    </row>
    <row r="68" spans="32:32" x14ac:dyDescent="0.25">
      <c r="AF68" s="5" t="s">
        <v>39</v>
      </c>
    </row>
    <row r="69" spans="32:32" x14ac:dyDescent="0.25">
      <c r="AF69" s="5" t="s">
        <v>40</v>
      </c>
    </row>
    <row r="70" spans="32:32" x14ac:dyDescent="0.25">
      <c r="AF70" s="5" t="s">
        <v>41</v>
      </c>
    </row>
    <row r="71" spans="32:32" x14ac:dyDescent="0.25">
      <c r="AF71" s="5" t="s">
        <v>42</v>
      </c>
    </row>
    <row r="72" spans="32:32" x14ac:dyDescent="0.25">
      <c r="AF72" s="5" t="s">
        <v>43</v>
      </c>
    </row>
    <row r="73" spans="32:32" x14ac:dyDescent="0.25">
      <c r="AF73" s="5" t="s">
        <v>44</v>
      </c>
    </row>
    <row r="74" spans="32:32" x14ac:dyDescent="0.25">
      <c r="AF74" s="5" t="s">
        <v>45</v>
      </c>
    </row>
    <row r="75" spans="32:32" x14ac:dyDescent="0.25">
      <c r="AF75" s="5" t="s">
        <v>46</v>
      </c>
    </row>
    <row r="76" spans="32:32" x14ac:dyDescent="0.25">
      <c r="AF76" s="5" t="s">
        <v>47</v>
      </c>
    </row>
    <row r="77" spans="32:32" x14ac:dyDescent="0.25">
      <c r="AF77" s="5" t="s">
        <v>48</v>
      </c>
    </row>
    <row r="78" spans="32:32" x14ac:dyDescent="0.25">
      <c r="AF78" s="5" t="s">
        <v>49</v>
      </c>
    </row>
    <row r="79" spans="32:32" x14ac:dyDescent="0.25">
      <c r="AF79" s="5" t="s">
        <v>50</v>
      </c>
    </row>
    <row r="80" spans="32:32" x14ac:dyDescent="0.25">
      <c r="AF80" s="5" t="s">
        <v>51</v>
      </c>
    </row>
    <row r="81" spans="32:32" x14ac:dyDescent="0.25">
      <c r="AF81" s="5" t="s">
        <v>52</v>
      </c>
    </row>
    <row r="82" spans="32:32" x14ac:dyDescent="0.25">
      <c r="AF82" s="5" t="s">
        <v>53</v>
      </c>
    </row>
    <row r="83" spans="32:32" x14ac:dyDescent="0.25">
      <c r="AF83" s="5" t="s">
        <v>54</v>
      </c>
    </row>
    <row r="84" spans="32:32" x14ac:dyDescent="0.25">
      <c r="AF84" s="5" t="s">
        <v>55</v>
      </c>
    </row>
    <row r="85" spans="32:32" x14ac:dyDescent="0.25">
      <c r="AF85" s="5" t="s">
        <v>56</v>
      </c>
    </row>
    <row r="86" spans="32:32" x14ac:dyDescent="0.25">
      <c r="AF86" s="5" t="s">
        <v>17</v>
      </c>
    </row>
    <row r="87" spans="32:32" x14ac:dyDescent="0.25">
      <c r="AF87" s="5" t="s">
        <v>57</v>
      </c>
    </row>
    <row r="88" spans="32:32" x14ac:dyDescent="0.25">
      <c r="AF88" s="5" t="s">
        <v>58</v>
      </c>
    </row>
    <row r="89" spans="32:32" x14ac:dyDescent="0.25">
      <c r="AF89" s="5" t="s">
        <v>59</v>
      </c>
    </row>
    <row r="90" spans="32:32" x14ac:dyDescent="0.25">
      <c r="AF90" s="5" t="s">
        <v>60</v>
      </c>
    </row>
  </sheetData>
  <mergeCells count="9">
    <mergeCell ref="AS18:AY18"/>
    <mergeCell ref="AS19:AU19"/>
    <mergeCell ref="AS6:AY6"/>
    <mergeCell ref="AS7:AY7"/>
    <mergeCell ref="AS8:AY8"/>
    <mergeCell ref="AT10:AX10"/>
    <mergeCell ref="AS11:AY11"/>
    <mergeCell ref="AS14:AU14"/>
    <mergeCell ref="AW14:AY14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shapeId="4097" r:id="rId4">
          <objectPr defaultSize="0" autoPict="0" r:id="rId5">
            <anchor moveWithCells="1" sizeWithCells="1">
              <from>
                <xdr:col>43</xdr:col>
                <xdr:colOff>133350</xdr:colOff>
                <xdr:row>5</xdr:row>
                <xdr:rowOff>0</xdr:rowOff>
              </from>
              <to>
                <xdr:col>44</xdr:col>
                <xdr:colOff>0</xdr:colOff>
                <xdr:row>6</xdr:row>
                <xdr:rowOff>152400</xdr:rowOff>
              </to>
            </anchor>
          </objectPr>
        </oleObject>
      </mc:Choice>
      <mc:Fallback>
        <oleObject shapeId="4097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_XX_XXX"/>
  <dimension ref="A1:CB34"/>
  <sheetViews>
    <sheetView topLeftCell="A28" workbookViewId="0">
      <selection activeCell="N46" sqref="N46"/>
    </sheetView>
  </sheetViews>
  <sheetFormatPr defaultRowHeight="15" x14ac:dyDescent="0.25"/>
  <sheetData>
    <row r="1" spans="1:80" ht="31.5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1"/>
      <c r="W1" s="31"/>
      <c r="X1" s="31">
        <f>SUM(X4:X2491)</f>
        <v>0</v>
      </c>
      <c r="Y1" s="31">
        <f>SUM(Y4:Y2491)</f>
        <v>0</v>
      </c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>
        <f t="shared" ref="AM1:BA1" si="0">+SUM(AM4:AM9986)</f>
        <v>0</v>
      </c>
      <c r="AN1" s="31">
        <f t="shared" si="0"/>
        <v>0</v>
      </c>
      <c r="AO1" s="31">
        <f t="shared" si="0"/>
        <v>0</v>
      </c>
      <c r="AP1" s="31">
        <f t="shared" si="0"/>
        <v>0</v>
      </c>
      <c r="AQ1" s="31">
        <f t="shared" si="0"/>
        <v>0</v>
      </c>
      <c r="AR1" s="31" t="e">
        <f t="shared" si="0"/>
        <v>#N/A</v>
      </c>
      <c r="AS1" s="31" t="e">
        <f t="shared" si="0"/>
        <v>#N/A</v>
      </c>
      <c r="AT1" s="31">
        <f t="shared" si="0"/>
        <v>0</v>
      </c>
      <c r="AU1" s="31">
        <f t="shared" si="0"/>
        <v>0</v>
      </c>
      <c r="AV1" s="31">
        <f t="shared" si="0"/>
        <v>0</v>
      </c>
      <c r="AW1" s="31">
        <f t="shared" si="0"/>
        <v>0</v>
      </c>
      <c r="AX1" s="31">
        <f t="shared" si="0"/>
        <v>0</v>
      </c>
      <c r="AY1" s="31">
        <f t="shared" si="0"/>
        <v>0</v>
      </c>
      <c r="AZ1" s="31">
        <f t="shared" si="0"/>
        <v>0</v>
      </c>
      <c r="BA1" s="31">
        <f t="shared" si="0"/>
        <v>0</v>
      </c>
      <c r="BB1" s="32"/>
      <c r="BC1" s="58"/>
      <c r="BD1" s="96" t="s">
        <v>222</v>
      </c>
      <c r="BE1" s="96"/>
      <c r="BF1" s="96"/>
      <c r="BG1" s="96"/>
      <c r="BH1" s="96"/>
      <c r="BI1" s="96"/>
      <c r="BJ1" s="97"/>
      <c r="BL1" s="58"/>
      <c r="BM1" s="96" t="s">
        <v>222</v>
      </c>
      <c r="BN1" s="96"/>
      <c r="BO1" s="96"/>
      <c r="BP1" s="96"/>
      <c r="BQ1" s="96"/>
      <c r="BR1" s="96"/>
      <c r="BS1" s="97"/>
      <c r="BU1" s="58"/>
      <c r="BV1" s="96" t="s">
        <v>222</v>
      </c>
      <c r="BW1" s="96"/>
      <c r="BX1" s="96"/>
      <c r="BY1" s="96"/>
      <c r="BZ1" s="96"/>
      <c r="CA1" s="96"/>
      <c r="CB1" s="97"/>
    </row>
    <row r="2" spans="1:80" ht="15.75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110" t="s">
        <v>89</v>
      </c>
      <c r="AN2" s="110"/>
      <c r="AO2" s="110"/>
      <c r="AP2" s="110"/>
      <c r="AQ2" s="110"/>
      <c r="AR2" s="110" t="s">
        <v>90</v>
      </c>
      <c r="AS2" s="110"/>
      <c r="AT2" s="110"/>
      <c r="AU2" s="110"/>
      <c r="AV2" s="110"/>
      <c r="AW2" s="110"/>
      <c r="AX2" s="110"/>
      <c r="AY2" s="110"/>
      <c r="AZ2" s="110"/>
      <c r="BA2" s="110"/>
      <c r="BB2" s="32"/>
      <c r="BC2" s="58"/>
      <c r="BD2" s="98" t="s">
        <v>223</v>
      </c>
      <c r="BE2" s="98"/>
      <c r="BF2" s="98"/>
      <c r="BG2" s="98"/>
      <c r="BH2" s="98"/>
      <c r="BI2" s="98"/>
      <c r="BJ2" s="99"/>
      <c r="BL2" s="58"/>
      <c r="BM2" s="98" t="s">
        <v>223</v>
      </c>
      <c r="BN2" s="98"/>
      <c r="BO2" s="98"/>
      <c r="BP2" s="98"/>
      <c r="BQ2" s="98"/>
      <c r="BR2" s="98"/>
      <c r="BS2" s="99"/>
      <c r="BU2" s="58"/>
      <c r="BV2" s="98" t="s">
        <v>223</v>
      </c>
      <c r="BW2" s="98"/>
      <c r="BX2" s="98"/>
      <c r="BY2" s="98"/>
      <c r="BZ2" s="98"/>
      <c r="CA2" s="98"/>
      <c r="CB2" s="99"/>
    </row>
    <row r="3" spans="1:80" ht="19.5" x14ac:dyDescent="0.25">
      <c r="A3" s="33" t="s">
        <v>91</v>
      </c>
      <c r="B3" s="33" t="s">
        <v>92</v>
      </c>
      <c r="C3" s="33" t="s">
        <v>93</v>
      </c>
      <c r="D3" s="33" t="s">
        <v>94</v>
      </c>
      <c r="E3" s="33" t="s">
        <v>95</v>
      </c>
      <c r="F3" s="33" t="s">
        <v>96</v>
      </c>
      <c r="G3" s="33" t="s">
        <v>97</v>
      </c>
      <c r="H3" s="33" t="s">
        <v>98</v>
      </c>
      <c r="I3" s="33" t="s">
        <v>99</v>
      </c>
      <c r="J3" s="33" t="s">
        <v>100</v>
      </c>
      <c r="K3" s="33" t="s">
        <v>101</v>
      </c>
      <c r="L3" s="33" t="s">
        <v>102</v>
      </c>
      <c r="M3" s="33" t="s">
        <v>103</v>
      </c>
      <c r="N3" s="33" t="s">
        <v>104</v>
      </c>
      <c r="O3" s="33" t="s">
        <v>105</v>
      </c>
      <c r="P3" s="33" t="s">
        <v>106</v>
      </c>
      <c r="Q3" s="33" t="s">
        <v>107</v>
      </c>
      <c r="R3" s="33" t="s">
        <v>108</v>
      </c>
      <c r="S3" s="34" t="s">
        <v>109</v>
      </c>
      <c r="T3" s="32"/>
      <c r="U3" s="32"/>
      <c r="V3" s="31" t="s">
        <v>110</v>
      </c>
      <c r="W3" s="31" t="s">
        <v>111</v>
      </c>
      <c r="X3" s="31" t="s">
        <v>112</v>
      </c>
      <c r="Y3" s="31" t="s">
        <v>113</v>
      </c>
      <c r="Z3" s="31" t="s">
        <v>114</v>
      </c>
      <c r="AA3" s="31" t="s">
        <v>115</v>
      </c>
      <c r="AB3" s="31" t="s">
        <v>102</v>
      </c>
      <c r="AC3" s="31" t="s">
        <v>103</v>
      </c>
      <c r="AD3" s="31" t="s">
        <v>104</v>
      </c>
      <c r="AE3" s="31" t="s">
        <v>105</v>
      </c>
      <c r="AF3" s="31" t="s">
        <v>106</v>
      </c>
      <c r="AG3" s="31" t="s">
        <v>107</v>
      </c>
      <c r="AH3" s="31" t="s">
        <v>101</v>
      </c>
      <c r="AI3" s="31" t="s">
        <v>108</v>
      </c>
      <c r="AJ3" s="31"/>
      <c r="AK3" s="31"/>
      <c r="AL3" s="31"/>
      <c r="AM3" s="35" t="s">
        <v>116</v>
      </c>
      <c r="AN3" s="35" t="s">
        <v>117</v>
      </c>
      <c r="AO3" s="35" t="s">
        <v>118</v>
      </c>
      <c r="AP3" s="35" t="s">
        <v>119</v>
      </c>
      <c r="AQ3" s="35" t="s">
        <v>120</v>
      </c>
      <c r="AR3" s="35" t="s">
        <v>121</v>
      </c>
      <c r="AS3" s="35" t="s">
        <v>122</v>
      </c>
      <c r="AT3" s="35" t="s">
        <v>123</v>
      </c>
      <c r="AU3" s="35" t="s">
        <v>124</v>
      </c>
      <c r="AV3" s="35" t="s">
        <v>104</v>
      </c>
      <c r="AW3" s="35" t="s">
        <v>125</v>
      </c>
      <c r="AX3" s="35" t="s">
        <v>106</v>
      </c>
      <c r="AY3" s="35" t="s">
        <v>107</v>
      </c>
      <c r="AZ3" s="35" t="s">
        <v>101</v>
      </c>
      <c r="BA3" s="35" t="s">
        <v>126</v>
      </c>
      <c r="BB3" s="32"/>
      <c r="BC3" s="58"/>
      <c r="BD3" s="100" t="s">
        <v>224</v>
      </c>
      <c r="BE3" s="100"/>
      <c r="BF3" s="100"/>
      <c r="BG3" s="100"/>
      <c r="BH3" s="100"/>
      <c r="BI3" s="100"/>
      <c r="BJ3" s="101"/>
      <c r="BL3" s="58"/>
      <c r="BM3" s="100" t="s">
        <v>224</v>
      </c>
      <c r="BN3" s="100"/>
      <c r="BO3" s="100"/>
      <c r="BP3" s="100"/>
      <c r="BQ3" s="100"/>
      <c r="BR3" s="100"/>
      <c r="BS3" s="101"/>
      <c r="BU3" s="58"/>
      <c r="BV3" s="100" t="s">
        <v>224</v>
      </c>
      <c r="BW3" s="100"/>
      <c r="BX3" s="100"/>
      <c r="BY3" s="100"/>
      <c r="BZ3" s="100"/>
      <c r="CA3" s="100"/>
      <c r="CB3" s="101"/>
    </row>
    <row r="4" spans="1:80" x14ac:dyDescent="0.25">
      <c r="A4" s="36">
        <v>1300024188</v>
      </c>
      <c r="B4" s="36" t="s">
        <v>116</v>
      </c>
      <c r="C4" s="36" t="s">
        <v>127</v>
      </c>
      <c r="D4" s="36"/>
      <c r="E4" s="36"/>
      <c r="F4" s="36">
        <v>0</v>
      </c>
      <c r="G4" s="36">
        <v>0</v>
      </c>
      <c r="H4" s="36">
        <v>925</v>
      </c>
      <c r="I4" s="36">
        <v>2015</v>
      </c>
      <c r="J4" s="37" t="s">
        <v>128</v>
      </c>
      <c r="K4" s="36" t="s">
        <v>129</v>
      </c>
      <c r="L4" s="37" t="s">
        <v>130</v>
      </c>
      <c r="M4" s="36" t="s">
        <v>131</v>
      </c>
      <c r="N4" s="36" t="s">
        <v>0</v>
      </c>
      <c r="O4" s="36" t="s">
        <v>130</v>
      </c>
      <c r="P4" s="36" t="s">
        <v>130</v>
      </c>
      <c r="Q4" s="36" t="s">
        <v>132</v>
      </c>
      <c r="R4" s="36">
        <v>0</v>
      </c>
      <c r="S4" s="36"/>
      <c r="T4" s="38"/>
      <c r="U4" s="38"/>
      <c r="V4" s="39">
        <f>IF(J4="CST",CSTV,VATV)*F4*H4*[1]USERCONTROL!$B$3^([1]USERCONTROL!$B$2-[1]PIPING!I4)</f>
        <v>0</v>
      </c>
      <c r="W4" s="39">
        <f>F4*H4*[1]USERCONTROL!$B$3^([1]USERCONTROL!$B$2-[1]PIPING!I4)</f>
        <v>0</v>
      </c>
      <c r="X4" s="31">
        <f>IF(B4&lt;&gt; "",ROUNDUP(IDMARGIN*[1]PIPING!D4*[1]PIPING!G4,0),0)</f>
        <v>0</v>
      </c>
      <c r="Y4" s="31">
        <f>IF(B4&lt;&gt; "",IF(B4="Pipe",ROUNDUP(IMMARGIN*[1]PIPING!D4*[1]PIPING!F4,0),0),0)</f>
        <v>0</v>
      </c>
      <c r="Z4" s="39" t="e">
        <f>IF(B4&lt;&gt; "",INDEX([1]CONTROL!$E$2:$E$29,MATCH([1]PIPING!E4,[1]CONTROL!$D$2:$D$29,0),1)*X4,0)</f>
        <v>#N/A</v>
      </c>
      <c r="AA4" s="39" t="e">
        <f>IF(B4&lt;&gt; "",INDEX([1]CONTROL!$F$2:$F$29,MATCH([1]PIPING!E4,[1]CONTROL!$D$2:$D$29,0),1)*Y4,0)</f>
        <v>#N/A</v>
      </c>
      <c r="AB4" s="39">
        <f>IF(B4&lt;&gt; "",INDEX([1]CONTROL!$U$2:$U$36,MATCH([1]PIPING!L4,[1]CONTROL!$T$2:$T$36,0),1)*INSULMARGIN*(3.1416*[1]PIPING!D4*(25.4/1000))*IF([1]PIPING!B4="Pipe",[1]PIPING!F4,1)+SHEATHMARGIN*IF(L4="NIL",0,[1]CONTROL!$X$2)*(3.1416*D4*(25.4/1000))*IF(B4="Pipe",F4,1)+IF(L4="NIL",0,[1]CONTROL!$X$4)*(3.1416*[1]PIPING!D4*(25.4/1000))*IF([1]PIPING!B4="Pipe",[1]PIPING!F4,1),0)</f>
        <v>0</v>
      </c>
      <c r="AC4" s="31">
        <f>IF(B4&lt;&gt; "",INDEX([1]CONTROL!$BB$4:$BB$21,MATCH([1]PIPING!M4,[1]CONTROL!$AM$4:$AM$21,0),1)*[1]USERCONTROL!$B$11*(3.1416)*(1/1000)*(D4*25.4)*IF(B4="Pipe",F4,1),0)</f>
        <v>0</v>
      </c>
      <c r="AD4" s="39">
        <f>IF(B4&lt;&gt; "",IF(N4="Y",[1]CONTROL!$X$6,0)*IF(B4="Pipe",F4,1)*(3.1416*D4*(25.4/1000))*CWMARGIN,0)</f>
        <v>0</v>
      </c>
      <c r="AE4" s="39">
        <f>IF(B4&lt;&gt; "",INDEX([1]CONTROL!$AC$2:$AC$6,MATCH([1]PIPING!O4,[1]CONTROL!$AA$2:$AA$6,0),1)*[1]PIPING!X4,0)</f>
        <v>0</v>
      </c>
      <c r="AF4" s="31">
        <f>IF(B4&lt;&gt; "",INDEX([1]CONTROL!$AF$2:$AF$4,MATCH([1]PIPING!P4,POST_D,0),1)*[1]PIPING!X4,0)</f>
        <v>0</v>
      </c>
      <c r="AG4" s="31">
        <f>IF(B4&lt;&gt; "",INDEX([1]CONTROL!$AI$2:$AI$4,MATCH([1]PIPING!Q4,[1]CONTROL!$AG$2:$AG$4,0),1)*[1]PIPING!X4,0)</f>
        <v>0</v>
      </c>
      <c r="AH4" s="31">
        <f>ROUNDUP(IF(K4&lt;&gt; "",INDEX([1]CONTROL!$S$2:$S$5,MATCH([1]PIPING!K4,[1]CONTROL!$R$2:$R$5,0),1),0)*ROUNDUP(G4,0),0)*rt_extra_peri*[1]USERCONTROL!$I$4*(3.1416*[1]PIPING!D4)*[1]CONTROL!$BX$1+ROUNDUP((ROUNDUP(IF(K4&lt;&gt; "",INDEX([1]CONTROL!$S$2:$S$5,MATCH([1]PIPING!K4,[1]CONTROL!$R$2:$R$5,0),1),0)*ROUNDUP(G4,0),0))/[1]USERCONTROL!$B$13,0)*[1]USERCONTROL!$I$3</f>
        <v>0</v>
      </c>
      <c r="AI4" s="31">
        <f>IF(B4&lt;&gt; "",R4*[1]USERCONTROL!$I$2*[1]CONTROL!$BE$3,0)</f>
        <v>0</v>
      </c>
      <c r="AJ4" s="31"/>
      <c r="AK4" s="31"/>
      <c r="AL4" s="31"/>
      <c r="AM4" s="31">
        <f>IF(B4="Pipe",W4+V4,0)</f>
        <v>0</v>
      </c>
      <c r="AN4" s="31">
        <f>IF(OR(B4="Elbow",B4="Tee",B4="Reducer",B4="Other Fitting"),V4+W4,0)</f>
        <v>0</v>
      </c>
      <c r="AO4" s="31">
        <f>IF(OR(B4="Flange",B4="Blind Flange"),V4+W4,0)</f>
        <v>0</v>
      </c>
      <c r="AP4" s="31">
        <f>IF(B4="Valve",W4+V4,0)</f>
        <v>0</v>
      </c>
      <c r="AQ4" s="31">
        <f>IF(AND(AM4=0,AN4=0,AO4=0,AP4=0),V4+W4,0)</f>
        <v>0</v>
      </c>
      <c r="AR4" s="31" t="e">
        <f>(1+[1]USERCONTROL!$B$12)*[1]PIPING!Z4</f>
        <v>#N/A</v>
      </c>
      <c r="AS4" s="31" t="e">
        <f>(1+[1]USERCONTROL!$B$12)*[1]PIPING!AA4</f>
        <v>#N/A</v>
      </c>
      <c r="AT4" s="31">
        <f>(1+[1]USERCONTROL!$B$12)*AB4</f>
        <v>0</v>
      </c>
      <c r="AU4" s="31">
        <f>(1+[1]USERCONTROL!$B$12)*AC4</f>
        <v>0</v>
      </c>
      <c r="AV4" s="31">
        <f>(1+[1]USERCONTROL!$B$12)*AD4</f>
        <v>0</v>
      </c>
      <c r="AW4" s="31">
        <f>(1+[1]USERCONTROL!$B$12)*AE4</f>
        <v>0</v>
      </c>
      <c r="AX4" s="31">
        <f>(1+[1]USERCONTROL!$B$12)*AF4</f>
        <v>0</v>
      </c>
      <c r="AY4" s="31">
        <f>(1+[1]USERCONTROL!$B$12)*AG4</f>
        <v>0</v>
      </c>
      <c r="AZ4" s="31">
        <f>(1+[1]USERCONTROL!$B$12)*AH4</f>
        <v>0</v>
      </c>
      <c r="BA4" s="31">
        <f>(1+[1]USERCONTROL!$B$12)*AI4</f>
        <v>0</v>
      </c>
      <c r="BB4" s="32"/>
      <c r="BC4" s="58"/>
      <c r="BD4" s="42"/>
      <c r="BE4" s="42"/>
      <c r="BF4" s="42"/>
      <c r="BG4" s="49" t="s">
        <v>225</v>
      </c>
      <c r="BH4" s="42"/>
      <c r="BI4" s="42"/>
      <c r="BJ4" s="65"/>
      <c r="BL4" s="58"/>
      <c r="BM4" s="42"/>
      <c r="BN4" s="42"/>
      <c r="BO4" s="42"/>
      <c r="BP4" s="49" t="s">
        <v>225</v>
      </c>
      <c r="BQ4" s="42"/>
      <c r="BR4" s="42"/>
      <c r="BS4" s="65"/>
      <c r="BU4" s="58"/>
      <c r="BV4" s="42"/>
      <c r="BW4" s="42"/>
      <c r="BX4" s="42"/>
      <c r="BY4" s="49" t="s">
        <v>225</v>
      </c>
      <c r="BZ4" s="42"/>
      <c r="CA4" s="42"/>
      <c r="CB4" s="65"/>
    </row>
    <row r="5" spans="1:80" ht="23.25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2"/>
      <c r="BC5" s="58"/>
      <c r="BD5" s="41"/>
      <c r="BE5" s="102" t="s">
        <v>234</v>
      </c>
      <c r="BF5" s="103"/>
      <c r="BG5" s="103"/>
      <c r="BH5" s="103"/>
      <c r="BI5" s="103"/>
      <c r="BJ5" s="59"/>
      <c r="BL5" s="58"/>
      <c r="BM5" s="41"/>
      <c r="BN5" s="102" t="s">
        <v>234</v>
      </c>
      <c r="BO5" s="103"/>
      <c r="BP5" s="103"/>
      <c r="BQ5" s="103"/>
      <c r="BR5" s="103"/>
      <c r="BS5" s="59"/>
      <c r="BU5" s="58"/>
      <c r="BV5" s="41"/>
      <c r="BW5" s="102" t="s">
        <v>234</v>
      </c>
      <c r="BX5" s="103"/>
      <c r="BY5" s="103"/>
      <c r="BZ5" s="103"/>
      <c r="CA5" s="103"/>
      <c r="CB5" s="59"/>
    </row>
    <row r="6" spans="1:80" ht="21" x14ac:dyDescent="0.25">
      <c r="BC6" s="58"/>
      <c r="BD6" s="104" t="s">
        <v>233</v>
      </c>
      <c r="BE6" s="105"/>
      <c r="BF6" s="105"/>
      <c r="BG6" s="105"/>
      <c r="BH6" s="105"/>
      <c r="BI6" s="105"/>
      <c r="BJ6" s="106"/>
      <c r="BL6" s="58"/>
      <c r="BM6" s="104" t="s">
        <v>233</v>
      </c>
      <c r="BN6" s="105"/>
      <c r="BO6" s="105"/>
      <c r="BP6" s="105"/>
      <c r="BQ6" s="105"/>
      <c r="BR6" s="105"/>
      <c r="BS6" s="106"/>
      <c r="BU6" s="58"/>
      <c r="BV6" s="104" t="s">
        <v>233</v>
      </c>
      <c r="BW6" s="105"/>
      <c r="BX6" s="105"/>
      <c r="BY6" s="105"/>
      <c r="BZ6" s="105"/>
      <c r="CA6" s="105"/>
      <c r="CB6" s="106"/>
    </row>
    <row r="7" spans="1:80" x14ac:dyDescent="0.25">
      <c r="BC7" s="58"/>
      <c r="BD7" s="41"/>
      <c r="BE7" s="41"/>
      <c r="BF7" s="41"/>
      <c r="BG7" s="41"/>
      <c r="BH7" s="41"/>
      <c r="BI7" s="41"/>
      <c r="BJ7" s="59"/>
      <c r="BL7" s="58"/>
      <c r="BM7" s="41"/>
      <c r="BN7" s="41"/>
      <c r="BO7" s="41"/>
      <c r="BP7" s="41"/>
      <c r="BQ7" s="41"/>
      <c r="BR7" s="41"/>
      <c r="BS7" s="59"/>
      <c r="BU7" s="58"/>
      <c r="BV7" s="41"/>
      <c r="BW7" s="41"/>
      <c r="BX7" s="41"/>
      <c r="BY7" s="41"/>
      <c r="BZ7" s="41"/>
      <c r="CA7" s="41"/>
      <c r="CB7" s="59"/>
    </row>
    <row r="8" spans="1:80" ht="15.75" x14ac:dyDescent="0.25">
      <c r="BC8" s="58"/>
      <c r="BD8" s="41"/>
      <c r="BE8" s="60" t="s">
        <v>227</v>
      </c>
      <c r="BF8" s="60"/>
      <c r="BG8" s="60"/>
      <c r="BH8" s="60"/>
      <c r="BI8" s="60"/>
      <c r="BJ8" s="66"/>
      <c r="BL8" s="58"/>
      <c r="BM8" s="41"/>
      <c r="BN8" s="60" t="s">
        <v>227</v>
      </c>
      <c r="BO8" s="60"/>
      <c r="BP8" s="60"/>
      <c r="BQ8" s="60"/>
      <c r="BR8" s="60"/>
      <c r="BS8" s="66"/>
      <c r="BU8" s="58"/>
      <c r="BV8" s="41"/>
      <c r="BW8" s="60" t="s">
        <v>227</v>
      </c>
      <c r="BX8" s="60"/>
      <c r="BY8" s="60"/>
      <c r="BZ8" s="60"/>
      <c r="CA8" s="60"/>
      <c r="CB8" s="66"/>
    </row>
    <row r="9" spans="1:80" ht="36" x14ac:dyDescent="0.35">
      <c r="BC9" s="67" t="s">
        <v>229</v>
      </c>
      <c r="BD9" s="81" t="s">
        <v>228</v>
      </c>
      <c r="BE9" s="82"/>
      <c r="BF9" s="83"/>
      <c r="BG9" s="47" t="s">
        <v>231</v>
      </c>
      <c r="BH9" s="84" t="s">
        <v>232</v>
      </c>
      <c r="BI9" s="85"/>
      <c r="BJ9" s="86"/>
      <c r="BL9" s="67" t="s">
        <v>229</v>
      </c>
      <c r="BM9" s="81" t="s">
        <v>228</v>
      </c>
      <c r="BN9" s="82"/>
      <c r="BO9" s="83"/>
      <c r="BP9" s="47" t="s">
        <v>231</v>
      </c>
      <c r="BQ9" s="84" t="s">
        <v>232</v>
      </c>
      <c r="BR9" s="85"/>
      <c r="BS9" s="86"/>
      <c r="BU9" s="67" t="s">
        <v>229</v>
      </c>
      <c r="BV9" s="81" t="s">
        <v>228</v>
      </c>
      <c r="BW9" s="82"/>
      <c r="BX9" s="83"/>
      <c r="BY9" s="47" t="s">
        <v>231</v>
      </c>
      <c r="BZ9" s="84" t="s">
        <v>232</v>
      </c>
      <c r="CA9" s="85"/>
      <c r="CB9" s="86"/>
    </row>
    <row r="10" spans="1:80" ht="46.5" customHeight="1" x14ac:dyDescent="0.35">
      <c r="BC10" s="68" t="s">
        <v>230</v>
      </c>
      <c r="BD10" s="46"/>
      <c r="BE10" s="44"/>
      <c r="BF10" s="44"/>
      <c r="BG10" s="44"/>
      <c r="BH10" s="44"/>
      <c r="BI10" s="44"/>
      <c r="BJ10" s="69"/>
      <c r="BL10" s="68" t="s">
        <v>230</v>
      </c>
      <c r="BM10" s="46"/>
      <c r="BN10" s="44"/>
      <c r="BO10" s="44"/>
      <c r="BP10" s="44"/>
      <c r="BQ10" s="44"/>
      <c r="BR10" s="44"/>
      <c r="BS10" s="69"/>
      <c r="BU10" s="68" t="s">
        <v>230</v>
      </c>
      <c r="BV10" s="46"/>
      <c r="BW10" s="44"/>
      <c r="BX10" s="44"/>
      <c r="BY10" s="44"/>
      <c r="BZ10" s="44"/>
      <c r="CA10" s="44"/>
      <c r="CB10" s="69"/>
    </row>
    <row r="11" spans="1:80" x14ac:dyDescent="0.25">
      <c r="BC11" s="58"/>
      <c r="BD11" s="41"/>
      <c r="BE11" s="41"/>
      <c r="BF11" s="41"/>
      <c r="BG11" s="41"/>
      <c r="BH11" s="41"/>
      <c r="BI11" s="41"/>
      <c r="BJ11" s="59"/>
      <c r="BL11" s="58"/>
      <c r="BM11" s="41"/>
      <c r="BN11" s="41"/>
      <c r="BO11" s="41"/>
      <c r="BP11" s="41"/>
      <c r="BQ11" s="41"/>
      <c r="BR11" s="41"/>
      <c r="BS11" s="59"/>
      <c r="BU11" s="58"/>
      <c r="BV11" s="41"/>
      <c r="BW11" s="41"/>
      <c r="BX11" s="41"/>
      <c r="BY11" s="41"/>
      <c r="BZ11" s="41"/>
      <c r="CA11" s="41"/>
      <c r="CB11" s="59"/>
    </row>
    <row r="12" spans="1:80" x14ac:dyDescent="0.25">
      <c r="BC12" s="58"/>
      <c r="BD12" s="41"/>
      <c r="BE12" s="41"/>
      <c r="BF12" s="41"/>
      <c r="BG12" s="41"/>
      <c r="BH12" s="41"/>
      <c r="BI12" s="41"/>
      <c r="BJ12" s="59"/>
      <c r="BL12" s="58"/>
      <c r="BM12" s="41"/>
      <c r="BN12" s="41"/>
      <c r="BO12" s="41"/>
      <c r="BP12" s="41"/>
      <c r="BQ12" s="41"/>
      <c r="BR12" s="41"/>
      <c r="BS12" s="59"/>
      <c r="BU12" s="58"/>
      <c r="BV12" s="41"/>
      <c r="BW12" s="41"/>
      <c r="BX12" s="41"/>
      <c r="BY12" s="41"/>
      <c r="BZ12" s="41"/>
      <c r="CA12" s="41"/>
      <c r="CB12" s="59"/>
    </row>
    <row r="13" spans="1:80" ht="43.5" x14ac:dyDescent="0.4">
      <c r="BC13" s="70" t="s">
        <v>240</v>
      </c>
      <c r="BD13" s="87" t="s">
        <v>243</v>
      </c>
      <c r="BE13" s="87"/>
      <c r="BF13" s="87"/>
      <c r="BG13" s="87"/>
      <c r="BH13" s="87"/>
      <c r="BI13" s="87"/>
      <c r="BJ13" s="88"/>
      <c r="BL13" s="70" t="s">
        <v>240</v>
      </c>
      <c r="BM13" s="87" t="s">
        <v>243</v>
      </c>
      <c r="BN13" s="87"/>
      <c r="BO13" s="87"/>
      <c r="BP13" s="87"/>
      <c r="BQ13" s="87"/>
      <c r="BR13" s="87"/>
      <c r="BS13" s="88"/>
      <c r="BU13" s="70" t="s">
        <v>240</v>
      </c>
      <c r="BV13" s="87" t="s">
        <v>243</v>
      </c>
      <c r="BW13" s="87"/>
      <c r="BX13" s="87"/>
      <c r="BY13" s="87"/>
      <c r="BZ13" s="87"/>
      <c r="CA13" s="87"/>
      <c r="CB13" s="88"/>
    </row>
    <row r="14" spans="1:80" ht="43.5" customHeight="1" x14ac:dyDescent="0.4">
      <c r="BC14" s="70" t="s">
        <v>241</v>
      </c>
      <c r="BD14" s="89" t="s">
        <v>242</v>
      </c>
      <c r="BE14" s="89"/>
      <c r="BF14" s="89"/>
      <c r="BG14" s="41"/>
      <c r="BH14" s="41"/>
      <c r="BI14" s="41"/>
      <c r="BJ14" s="59"/>
      <c r="BL14" s="70" t="s">
        <v>241</v>
      </c>
      <c r="BM14" s="89" t="s">
        <v>242</v>
      </c>
      <c r="BN14" s="89"/>
      <c r="BO14" s="89"/>
      <c r="BP14" s="41"/>
      <c r="BQ14" s="41"/>
      <c r="BR14" s="41"/>
      <c r="BS14" s="59"/>
      <c r="BU14" s="70" t="s">
        <v>241</v>
      </c>
      <c r="BV14" s="89" t="s">
        <v>242</v>
      </c>
      <c r="BW14" s="89"/>
      <c r="BX14" s="89"/>
      <c r="BY14" s="41"/>
      <c r="BZ14" s="41"/>
      <c r="CA14" s="41"/>
      <c r="CB14" s="59"/>
    </row>
    <row r="15" spans="1:80" x14ac:dyDescent="0.25">
      <c r="BC15" s="58"/>
      <c r="BD15" s="41"/>
      <c r="BE15" s="41"/>
      <c r="BF15" s="41"/>
      <c r="BG15" s="41"/>
      <c r="BH15" s="41"/>
      <c r="BI15" s="41"/>
      <c r="BJ15" s="59"/>
      <c r="BL15" s="58"/>
      <c r="BM15" s="41"/>
      <c r="BN15" s="41"/>
      <c r="BO15" s="41"/>
      <c r="BP15" s="41"/>
      <c r="BQ15" s="41"/>
      <c r="BR15" s="41"/>
      <c r="BS15" s="59"/>
      <c r="BU15" s="58"/>
      <c r="BV15" s="41"/>
      <c r="BW15" s="41"/>
      <c r="BX15" s="41"/>
      <c r="BY15" s="41"/>
      <c r="BZ15" s="41"/>
      <c r="CA15" s="41"/>
      <c r="CB15" s="59"/>
    </row>
    <row r="16" spans="1:80" x14ac:dyDescent="0.25">
      <c r="BC16" s="58"/>
      <c r="BD16" s="41"/>
      <c r="BE16" s="41"/>
      <c r="BF16" s="41"/>
      <c r="BG16" s="41"/>
      <c r="BH16" s="41"/>
      <c r="BI16" s="41"/>
      <c r="BJ16" s="59"/>
      <c r="BL16" s="58"/>
      <c r="BM16" s="41"/>
      <c r="BN16" s="41"/>
      <c r="BO16" s="41"/>
      <c r="BP16" s="41"/>
      <c r="BQ16" s="41"/>
      <c r="BR16" s="41"/>
      <c r="BS16" s="59"/>
      <c r="BU16" s="58"/>
      <c r="BV16" s="41"/>
      <c r="BW16" s="41"/>
      <c r="BX16" s="41"/>
      <c r="BY16" s="41"/>
      <c r="BZ16" s="41"/>
      <c r="CA16" s="41"/>
      <c r="CB16" s="59"/>
    </row>
    <row r="17" spans="55:80" ht="21.75" x14ac:dyDescent="0.4">
      <c r="BC17" s="71" t="s">
        <v>226</v>
      </c>
      <c r="BD17" s="61"/>
      <c r="BE17" s="41"/>
      <c r="BF17" s="41"/>
      <c r="BG17" s="41"/>
      <c r="BH17" s="41"/>
      <c r="BI17" s="41"/>
      <c r="BJ17" s="59"/>
      <c r="BL17" s="71" t="s">
        <v>226</v>
      </c>
      <c r="BM17" s="61"/>
      <c r="BN17" s="41"/>
      <c r="BO17" s="41"/>
      <c r="BP17" s="41"/>
      <c r="BQ17" s="41"/>
      <c r="BR17" s="41"/>
      <c r="BS17" s="59"/>
      <c r="BU17" s="71" t="s">
        <v>226</v>
      </c>
      <c r="BV17" s="61"/>
      <c r="BW17" s="41"/>
      <c r="BX17" s="41"/>
      <c r="BY17" s="41"/>
      <c r="BZ17" s="41"/>
      <c r="CA17" s="41"/>
      <c r="CB17" s="59"/>
    </row>
    <row r="18" spans="55:80" ht="21.75" x14ac:dyDescent="0.4">
      <c r="BC18" s="72" t="str">
        <f>CONCATENATE("परियोजना संख्या"," P-16-055",  "संबंधित प्रक्रिया एवं अभियांत्रिकी आरेख  और यांत्रिकरण  डेटा")</f>
        <v>परियोजना संख्या P-16-055संबंधित प्रक्रिया एवं अभियांत्रिकी आरेख  और यांत्रिकरण  डेटा</v>
      </c>
      <c r="BD18" s="61"/>
      <c r="BE18" s="41"/>
      <c r="BF18" s="41"/>
      <c r="BG18" s="41"/>
      <c r="BH18" s="41"/>
      <c r="BI18" s="41"/>
      <c r="BJ18" s="59"/>
      <c r="BL18" s="72" t="str">
        <f>CONCATENATE("परियोजना संख्या"," P-16-055",  "संबंधित प्रक्रिया एवं अभियांत्रिकी आरेख  और यांत्रिकरण  डेटा")</f>
        <v>परियोजना संख्या P-16-055संबंधित प्रक्रिया एवं अभियांत्रिकी आरेख  और यांत्रिकरण  डेटा</v>
      </c>
      <c r="BM18" s="61"/>
      <c r="BN18" s="41"/>
      <c r="BO18" s="41"/>
      <c r="BP18" s="41"/>
      <c r="BQ18" s="41"/>
      <c r="BR18" s="41"/>
      <c r="BS18" s="59"/>
      <c r="BU18" s="72" t="str">
        <f>CONCATENATE("परियोजना संख्या"," P-16-055",  "संबंधित प्रक्रिया एवं अभियांत्रिकी आरेख  और यांत्रिकरण  डेटा")</f>
        <v>परियोजना संख्या P-16-055संबंधित प्रक्रिया एवं अभियांत्रिकी आरेख  और यांत्रिकरण  डेटा</v>
      </c>
      <c r="BV18" s="61"/>
      <c r="BW18" s="41"/>
      <c r="BX18" s="41"/>
      <c r="BY18" s="41"/>
      <c r="BZ18" s="41"/>
      <c r="CA18" s="41"/>
      <c r="CB18" s="59"/>
    </row>
    <row r="19" spans="55:80" ht="21.75" x14ac:dyDescent="0.4">
      <c r="BC19" s="72" t="s">
        <v>244</v>
      </c>
      <c r="BD19" s="61"/>
      <c r="BE19" s="41"/>
      <c r="BF19" s="41"/>
      <c r="BG19" s="41"/>
      <c r="BH19" s="41"/>
      <c r="BI19" s="41"/>
      <c r="BJ19" s="59"/>
      <c r="BL19" s="72" t="s">
        <v>244</v>
      </c>
      <c r="BM19" s="61"/>
      <c r="BN19" s="41"/>
      <c r="BO19" s="41"/>
      <c r="BP19" s="41"/>
      <c r="BQ19" s="41"/>
      <c r="BR19" s="41"/>
      <c r="BS19" s="59"/>
      <c r="BU19" s="72" t="s">
        <v>244</v>
      </c>
      <c r="BV19" s="61"/>
      <c r="BW19" s="41"/>
      <c r="BX19" s="41"/>
      <c r="BY19" s="41"/>
      <c r="BZ19" s="41"/>
      <c r="CA19" s="41"/>
      <c r="CB19" s="59"/>
    </row>
    <row r="20" spans="55:80" x14ac:dyDescent="0.25">
      <c r="BC20" s="58"/>
      <c r="BD20" s="41"/>
      <c r="BE20" s="41"/>
      <c r="BF20" s="41"/>
      <c r="BG20" s="41"/>
      <c r="BH20" s="41"/>
      <c r="BI20" s="41"/>
      <c r="BJ20" s="59"/>
      <c r="BL20" s="58"/>
      <c r="BM20" s="41"/>
      <c r="BN20" s="41"/>
      <c r="BO20" s="41"/>
      <c r="BP20" s="41"/>
      <c r="BQ20" s="41"/>
      <c r="BR20" s="41"/>
      <c r="BS20" s="59"/>
      <c r="BU20" s="58"/>
      <c r="BV20" s="41"/>
      <c r="BW20" s="41"/>
      <c r="BX20" s="41"/>
      <c r="BY20" s="41"/>
      <c r="BZ20" s="41"/>
      <c r="CA20" s="41"/>
      <c r="CB20" s="59"/>
    </row>
    <row r="21" spans="55:80" ht="36" customHeight="1" x14ac:dyDescent="0.25">
      <c r="BC21" s="107" t="s">
        <v>245</v>
      </c>
      <c r="BD21" s="108"/>
      <c r="BE21" s="108"/>
      <c r="BF21" s="108"/>
      <c r="BG21" s="108"/>
      <c r="BH21" s="108"/>
      <c r="BI21" s="108"/>
      <c r="BJ21" s="109"/>
      <c r="BL21" s="107" t="s">
        <v>245</v>
      </c>
      <c r="BM21" s="108"/>
      <c r="BN21" s="108"/>
      <c r="BO21" s="108"/>
      <c r="BP21" s="108"/>
      <c r="BQ21" s="108"/>
      <c r="BR21" s="108"/>
      <c r="BS21" s="109"/>
      <c r="BU21" s="107" t="s">
        <v>245</v>
      </c>
      <c r="BV21" s="108"/>
      <c r="BW21" s="108"/>
      <c r="BX21" s="108"/>
      <c r="BY21" s="108"/>
      <c r="BZ21" s="108"/>
      <c r="CA21" s="108"/>
      <c r="CB21" s="109"/>
    </row>
    <row r="22" spans="55:80" ht="15" customHeight="1" x14ac:dyDescent="0.25">
      <c r="BC22" s="58" t="str">
        <f>CONCATENATE("-16-065"," for cost estimation of the above mentioned project.")</f>
        <v>-16-065 for cost estimation of the above mentioned project.</v>
      </c>
      <c r="BD22" s="41"/>
      <c r="BE22" s="41"/>
      <c r="BF22" s="41"/>
      <c r="BG22" s="41"/>
      <c r="BH22" s="41"/>
      <c r="BI22" s="41"/>
      <c r="BJ22" s="59"/>
      <c r="BL22" s="58" t="str">
        <f>CONCATENATE("-16-065"," for cost estimation of the above mentioned project.")</f>
        <v>-16-065 for cost estimation of the above mentioned project.</v>
      </c>
      <c r="BM22" s="41"/>
      <c r="BN22" s="41"/>
      <c r="BO22" s="41"/>
      <c r="BP22" s="41"/>
      <c r="BQ22" s="41"/>
      <c r="BR22" s="41"/>
      <c r="BS22" s="59"/>
      <c r="BU22" s="58" t="str">
        <f>CONCATENATE("-16-065"," for cost estimation of the above mentioned project.")</f>
        <v>-16-065 for cost estimation of the above mentioned project.</v>
      </c>
      <c r="BV22" s="41"/>
      <c r="BW22" s="41"/>
      <c r="BX22" s="41"/>
      <c r="BY22" s="41"/>
      <c r="BZ22" s="41"/>
      <c r="CA22" s="41"/>
      <c r="CB22" s="59"/>
    </row>
    <row r="23" spans="55:80" x14ac:dyDescent="0.25">
      <c r="BC23" s="58"/>
      <c r="BD23" s="41"/>
      <c r="BE23" s="41"/>
      <c r="BF23" s="41"/>
      <c r="BG23" s="41"/>
      <c r="BH23" s="41"/>
      <c r="BI23" s="41"/>
      <c r="BJ23" s="59"/>
      <c r="BL23" s="58"/>
      <c r="BM23" s="41"/>
      <c r="BN23" s="41"/>
      <c r="BO23" s="41"/>
      <c r="BP23" s="41"/>
      <c r="BQ23" s="41"/>
      <c r="BR23" s="41"/>
      <c r="BS23" s="59"/>
      <c r="BU23" s="58"/>
      <c r="BV23" s="41"/>
      <c r="BW23" s="41"/>
      <c r="BX23" s="41"/>
      <c r="BY23" s="41"/>
      <c r="BZ23" s="41"/>
      <c r="CA23" s="41"/>
      <c r="CB23" s="59"/>
    </row>
    <row r="24" spans="55:80" x14ac:dyDescent="0.25">
      <c r="BC24" s="58"/>
      <c r="BD24" s="41"/>
      <c r="BE24" s="41"/>
      <c r="BF24" s="41"/>
      <c r="BG24" s="41"/>
      <c r="BH24" s="41"/>
      <c r="BI24" s="41"/>
      <c r="BJ24" s="59"/>
      <c r="BL24" s="58"/>
      <c r="BM24" s="41"/>
      <c r="BN24" s="41"/>
      <c r="BO24" s="41"/>
      <c r="BP24" s="41"/>
      <c r="BQ24" s="41"/>
      <c r="BR24" s="41"/>
      <c r="BS24" s="59"/>
      <c r="BU24" s="58"/>
      <c r="BV24" s="41"/>
      <c r="BW24" s="41"/>
      <c r="BX24" s="41"/>
      <c r="BY24" s="41"/>
      <c r="BZ24" s="41"/>
      <c r="CA24" s="41"/>
      <c r="CB24" s="59"/>
    </row>
    <row r="25" spans="55:80" ht="43.5" customHeight="1" x14ac:dyDescent="0.25">
      <c r="BC25" s="58"/>
      <c r="BD25" s="41"/>
      <c r="BE25" s="41"/>
      <c r="BF25" s="41"/>
      <c r="BG25" s="41"/>
      <c r="BH25" s="41"/>
      <c r="BI25" s="41"/>
      <c r="BJ25" s="59"/>
      <c r="BL25" s="58"/>
      <c r="BM25" s="41"/>
      <c r="BN25" s="41"/>
      <c r="BO25" s="41"/>
      <c r="BP25" s="41"/>
      <c r="BQ25" s="41"/>
      <c r="BR25" s="41"/>
      <c r="BS25" s="59"/>
      <c r="BU25" s="58"/>
      <c r="BV25" s="41"/>
      <c r="BW25" s="41"/>
      <c r="BX25" s="41"/>
      <c r="BY25" s="41"/>
      <c r="BZ25" s="41"/>
      <c r="CA25" s="41"/>
      <c r="CB25" s="59"/>
    </row>
    <row r="26" spans="55:80" x14ac:dyDescent="0.25">
      <c r="BC26" s="58"/>
      <c r="BD26" s="41"/>
      <c r="BE26" s="41"/>
      <c r="BF26" s="41"/>
      <c r="BG26" s="41"/>
      <c r="BH26" s="41"/>
      <c r="BI26" s="41"/>
      <c r="BJ26" s="59"/>
      <c r="BL26" s="58"/>
      <c r="BM26" s="41"/>
      <c r="BN26" s="41"/>
      <c r="BO26" s="41"/>
      <c r="BP26" s="41"/>
      <c r="BQ26" s="41"/>
      <c r="BR26" s="41"/>
      <c r="BS26" s="59"/>
      <c r="BU26" s="58"/>
      <c r="BV26" s="41"/>
      <c r="BW26" s="41"/>
      <c r="BX26" s="41"/>
      <c r="BY26" s="41"/>
      <c r="BZ26" s="41"/>
      <c r="CA26" s="41"/>
      <c r="CB26" s="59"/>
    </row>
    <row r="27" spans="55:80" x14ac:dyDescent="0.25">
      <c r="BC27" s="58"/>
      <c r="BD27" s="41"/>
      <c r="BE27" s="41"/>
      <c r="BF27" s="41"/>
      <c r="BG27" s="41"/>
      <c r="BH27" s="41"/>
      <c r="BI27" s="41"/>
      <c r="BJ27" s="59"/>
      <c r="BL27" s="58"/>
      <c r="BM27" s="41"/>
      <c r="BN27" s="41"/>
      <c r="BO27" s="41"/>
      <c r="BP27" s="41"/>
      <c r="BQ27" s="41"/>
      <c r="BR27" s="41"/>
      <c r="BS27" s="59"/>
      <c r="BU27" s="58"/>
      <c r="BV27" s="41"/>
      <c r="BW27" s="41"/>
      <c r="BX27" s="41"/>
      <c r="BY27" s="41"/>
      <c r="BZ27" s="41"/>
      <c r="CA27" s="41"/>
      <c r="CB27" s="59"/>
    </row>
    <row r="28" spans="55:80" ht="23.25" x14ac:dyDescent="0.5">
      <c r="BC28" s="73" t="s">
        <v>235</v>
      </c>
      <c r="BD28" s="41"/>
      <c r="BE28" s="41"/>
      <c r="BF28" s="41"/>
      <c r="BG28" s="41"/>
      <c r="BH28" s="41"/>
      <c r="BI28" s="41"/>
      <c r="BJ28" s="59"/>
      <c r="BL28" s="73" t="s">
        <v>235</v>
      </c>
      <c r="BM28" s="41"/>
      <c r="BN28" s="41"/>
      <c r="BO28" s="41"/>
      <c r="BP28" s="41"/>
      <c r="BQ28" s="41"/>
      <c r="BR28" s="41"/>
      <c r="BS28" s="59"/>
      <c r="BU28" s="73" t="s">
        <v>235</v>
      </c>
      <c r="BV28" s="41"/>
      <c r="BW28" s="41"/>
      <c r="BX28" s="41"/>
      <c r="BY28" s="41"/>
      <c r="BZ28" s="41"/>
      <c r="CA28" s="41"/>
      <c r="CB28" s="59"/>
    </row>
    <row r="29" spans="55:80" x14ac:dyDescent="0.25">
      <c r="BC29" s="58"/>
      <c r="BD29" s="41"/>
      <c r="BE29" s="41"/>
      <c r="BF29" s="41"/>
      <c r="BG29" s="41"/>
      <c r="BH29" s="41"/>
      <c r="BI29" s="41"/>
      <c r="BJ29" s="59"/>
      <c r="BL29" s="58"/>
      <c r="BM29" s="41"/>
      <c r="BN29" s="41"/>
      <c r="BO29" s="41"/>
      <c r="BP29" s="41"/>
      <c r="BQ29" s="41"/>
      <c r="BR29" s="41"/>
      <c r="BS29" s="59"/>
      <c r="BU29" s="58"/>
      <c r="BV29" s="41"/>
      <c r="BW29" s="41"/>
      <c r="BX29" s="41"/>
      <c r="BY29" s="41"/>
      <c r="BZ29" s="41"/>
      <c r="CA29" s="41"/>
      <c r="CB29" s="59"/>
    </row>
    <row r="30" spans="55:80" ht="21.75" x14ac:dyDescent="0.4">
      <c r="BC30" s="71" t="s">
        <v>236</v>
      </c>
      <c r="BD30" s="41"/>
      <c r="BE30" s="41"/>
      <c r="BF30" s="41"/>
      <c r="BG30" s="41"/>
      <c r="BH30" s="41"/>
      <c r="BI30" s="41"/>
      <c r="BJ30" s="59"/>
      <c r="BL30" s="71" t="s">
        <v>236</v>
      </c>
      <c r="BM30" s="41"/>
      <c r="BN30" s="41"/>
      <c r="BO30" s="41"/>
      <c r="BP30" s="41"/>
      <c r="BQ30" s="41"/>
      <c r="BR30" s="41"/>
      <c r="BS30" s="59"/>
      <c r="BU30" s="71" t="s">
        <v>236</v>
      </c>
      <c r="BV30" s="41"/>
      <c r="BW30" s="41"/>
      <c r="BX30" s="41"/>
      <c r="BY30" s="41"/>
      <c r="BZ30" s="41"/>
      <c r="CA30" s="41"/>
      <c r="CB30" s="59"/>
    </row>
    <row r="31" spans="55:80" ht="21.75" x14ac:dyDescent="0.4">
      <c r="BC31" s="71" t="s">
        <v>237</v>
      </c>
      <c r="BD31" s="41"/>
      <c r="BE31" s="41"/>
      <c r="BF31" s="41"/>
      <c r="BG31" s="41"/>
      <c r="BH31" s="41"/>
      <c r="BI31" s="41"/>
      <c r="BJ31" s="59"/>
      <c r="BL31" s="71" t="s">
        <v>237</v>
      </c>
      <c r="BM31" s="41"/>
      <c r="BN31" s="41"/>
      <c r="BO31" s="41"/>
      <c r="BP31" s="41"/>
      <c r="BQ31" s="41"/>
      <c r="BR31" s="41"/>
      <c r="BS31" s="59"/>
      <c r="BU31" s="71" t="s">
        <v>237</v>
      </c>
      <c r="BV31" s="41"/>
      <c r="BW31" s="41"/>
      <c r="BX31" s="41"/>
      <c r="BY31" s="41"/>
      <c r="BZ31" s="41"/>
      <c r="CA31" s="41"/>
      <c r="CB31" s="59"/>
    </row>
    <row r="32" spans="55:80" ht="21.75" x14ac:dyDescent="0.4">
      <c r="BC32" s="71" t="s">
        <v>238</v>
      </c>
      <c r="BD32" s="41"/>
      <c r="BE32" s="41"/>
      <c r="BF32" s="41"/>
      <c r="BG32" s="41"/>
      <c r="BH32" s="41"/>
      <c r="BI32" s="41"/>
      <c r="BJ32" s="59"/>
      <c r="BL32" s="71" t="s">
        <v>238</v>
      </c>
      <c r="BM32" s="41"/>
      <c r="BN32" s="41"/>
      <c r="BO32" s="41"/>
      <c r="BP32" s="41"/>
      <c r="BQ32" s="41"/>
      <c r="BR32" s="41"/>
      <c r="BS32" s="59"/>
      <c r="BU32" s="71" t="s">
        <v>238</v>
      </c>
      <c r="BV32" s="41"/>
      <c r="BW32" s="41"/>
      <c r="BX32" s="41"/>
      <c r="BY32" s="41"/>
      <c r="BZ32" s="41"/>
      <c r="CA32" s="41"/>
      <c r="CB32" s="59"/>
    </row>
    <row r="33" spans="55:80" ht="21.75" customHeight="1" x14ac:dyDescent="0.4">
      <c r="BC33" s="71" t="s">
        <v>239</v>
      </c>
      <c r="BD33" s="41"/>
      <c r="BE33" s="41"/>
      <c r="BF33" s="41"/>
      <c r="BG33" s="41"/>
      <c r="BH33" s="41"/>
      <c r="BI33" s="41"/>
      <c r="BJ33" s="59"/>
      <c r="BL33" s="71" t="s">
        <v>239</v>
      </c>
      <c r="BM33" s="41"/>
      <c r="BN33" s="41"/>
      <c r="BO33" s="41"/>
      <c r="BP33" s="41"/>
      <c r="BQ33" s="41"/>
      <c r="BR33" s="41"/>
      <c r="BS33" s="59"/>
      <c r="BU33" s="71" t="s">
        <v>239</v>
      </c>
      <c r="BV33" s="41"/>
      <c r="BW33" s="41"/>
      <c r="BX33" s="41"/>
      <c r="BY33" s="41"/>
      <c r="BZ33" s="41"/>
      <c r="CA33" s="41"/>
      <c r="CB33" s="59"/>
    </row>
    <row r="34" spans="55:80" ht="15.75" thickBot="1" x14ac:dyDescent="0.3">
      <c r="BC34" s="62"/>
      <c r="BD34" s="63"/>
      <c r="BE34" s="63"/>
      <c r="BF34" s="63"/>
      <c r="BG34" s="63"/>
      <c r="BH34" s="63"/>
      <c r="BI34" s="63"/>
      <c r="BJ34" s="64"/>
      <c r="BL34" s="62"/>
      <c r="BM34" s="63"/>
      <c r="BN34" s="63"/>
      <c r="BO34" s="63"/>
      <c r="BP34" s="63"/>
      <c r="BQ34" s="63"/>
      <c r="BR34" s="63"/>
      <c r="BS34" s="64"/>
      <c r="BU34" s="62"/>
      <c r="BV34" s="63"/>
      <c r="BW34" s="63"/>
      <c r="BX34" s="63"/>
      <c r="BY34" s="63"/>
      <c r="BZ34" s="63"/>
      <c r="CA34" s="63"/>
      <c r="CB34" s="64"/>
    </row>
  </sheetData>
  <mergeCells count="32">
    <mergeCell ref="BD13:BJ13"/>
    <mergeCell ref="AM2:AQ2"/>
    <mergeCell ref="AR2:BA2"/>
    <mergeCell ref="BD1:BJ1"/>
    <mergeCell ref="BD2:BJ2"/>
    <mergeCell ref="BD3:BJ3"/>
    <mergeCell ref="BD14:BF14"/>
    <mergeCell ref="BC21:BJ21"/>
    <mergeCell ref="BM1:BS1"/>
    <mergeCell ref="BM2:BS2"/>
    <mergeCell ref="BM3:BS3"/>
    <mergeCell ref="BN5:BR5"/>
    <mergeCell ref="BM6:BS6"/>
    <mergeCell ref="BM9:BO9"/>
    <mergeCell ref="BQ9:BS9"/>
    <mergeCell ref="BM13:BS13"/>
    <mergeCell ref="BM14:BO14"/>
    <mergeCell ref="BL21:BS21"/>
    <mergeCell ref="BE5:BI5"/>
    <mergeCell ref="BD6:BJ6"/>
    <mergeCell ref="BD9:BF9"/>
    <mergeCell ref="BH9:BJ9"/>
    <mergeCell ref="BV1:CB1"/>
    <mergeCell ref="BV2:CB2"/>
    <mergeCell ref="BV3:CB3"/>
    <mergeCell ref="BW5:CA5"/>
    <mergeCell ref="BV6:CB6"/>
    <mergeCell ref="BV9:BX9"/>
    <mergeCell ref="BZ9:CB9"/>
    <mergeCell ref="BV13:CB13"/>
    <mergeCell ref="BV14:BX14"/>
    <mergeCell ref="BU21:CB21"/>
  </mergeCells>
  <dataValidations count="10">
    <dataValidation type="list" allowBlank="1" showInputMessage="1" showErrorMessage="1" sqref="E4">
      <formula1>MOCTHK_D</formula1>
    </dataValidation>
    <dataValidation type="list" allowBlank="1" showInputMessage="1" showErrorMessage="1" sqref="B4">
      <formula1>CAT_D</formula1>
    </dataValidation>
    <dataValidation type="list" allowBlank="1" showInputMessage="1" showErrorMessage="1" sqref="J4">
      <formula1>TAX_D</formula1>
    </dataValidation>
    <dataValidation type="list" allowBlank="1" showInputMessage="1" showErrorMessage="1" sqref="K4">
      <formula1>RTPC</formula1>
    </dataValidation>
    <dataValidation type="list" allowBlank="1" showInputMessage="1" showErrorMessage="1" sqref="L4">
      <formula1>INSUL_D</formula1>
    </dataValidation>
    <dataValidation type="list" allowBlank="1" showInputMessage="1" showErrorMessage="1" sqref="N4">
      <formula1>YND</formula1>
    </dataValidation>
    <dataValidation type="list" allowBlank="1" showInputMessage="1" showErrorMessage="1" sqref="O4">
      <formula1>PRE_D</formula1>
    </dataValidation>
    <dataValidation type="list" allowBlank="1" showInputMessage="1" showErrorMessage="1" sqref="P4">
      <formula1>POST_D</formula1>
    </dataValidation>
    <dataValidation type="list" allowBlank="1" showInputMessage="1" showErrorMessage="1" sqref="Q4">
      <formula1>sr_d</formula1>
    </dataValidation>
    <dataValidation type="list" allowBlank="1" showInputMessage="1" showErrorMessage="1" sqref="M4">
      <formula1>paint_d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shapeId="6148" r:id="rId4">
          <objectPr defaultSize="0" autoPict="0" r:id="rId5">
            <anchor moveWithCells="1" sizeWithCells="1">
              <from>
                <xdr:col>54</xdr:col>
                <xdr:colOff>133350</xdr:colOff>
                <xdr:row>0</xdr:row>
                <xdr:rowOff>0</xdr:rowOff>
              </from>
              <to>
                <xdr:col>55</xdr:col>
                <xdr:colOff>0</xdr:colOff>
                <xdr:row>1</xdr:row>
                <xdr:rowOff>152400</xdr:rowOff>
              </to>
            </anchor>
          </objectPr>
        </oleObject>
      </mc:Choice>
      <mc:Fallback>
        <oleObject shapeId="6148" r:id="rId4"/>
      </mc:Fallback>
    </mc:AlternateContent>
    <mc:AlternateContent xmlns:mc="http://schemas.openxmlformats.org/markup-compatibility/2006">
      <mc:Choice Requires="x14">
        <oleObject shapeId="6149" r:id="rId6">
          <objectPr defaultSize="0" autoPict="0" r:id="rId5">
            <anchor moveWithCells="1" sizeWithCells="1">
              <from>
                <xdr:col>63</xdr:col>
                <xdr:colOff>133350</xdr:colOff>
                <xdr:row>0</xdr:row>
                <xdr:rowOff>0</xdr:rowOff>
              </from>
              <to>
                <xdr:col>64</xdr:col>
                <xdr:colOff>0</xdr:colOff>
                <xdr:row>1</xdr:row>
                <xdr:rowOff>152400</xdr:rowOff>
              </to>
            </anchor>
          </objectPr>
        </oleObject>
      </mc:Choice>
      <mc:Fallback>
        <oleObject shapeId="6149" r:id="rId6"/>
      </mc:Fallback>
    </mc:AlternateContent>
    <mc:AlternateContent xmlns:mc="http://schemas.openxmlformats.org/markup-compatibility/2006">
      <mc:Choice Requires="x14">
        <oleObject shapeId="6150" r:id="rId7">
          <objectPr defaultSize="0" autoPict="0" r:id="rId5">
            <anchor moveWithCells="1" sizeWithCells="1">
              <from>
                <xdr:col>72</xdr:col>
                <xdr:colOff>133350</xdr:colOff>
                <xdr:row>0</xdr:row>
                <xdr:rowOff>0</xdr:rowOff>
              </from>
              <to>
                <xdr:col>73</xdr:col>
                <xdr:colOff>0</xdr:colOff>
                <xdr:row>1</xdr:row>
                <xdr:rowOff>152400</xdr:rowOff>
              </to>
            </anchor>
          </objectPr>
        </oleObject>
      </mc:Choice>
      <mc:Fallback>
        <oleObject shapeId="6150" r:id="rId7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8" name="Button 1">
              <controlPr defaultSize="0" print="0" autoFill="0" autoPict="0" macro="[1]!dragging1">
                <anchor moveWithCells="1" sizeWithCells="1">
                  <from>
                    <xdr:col>0</xdr:col>
                    <xdr:colOff>66675</xdr:colOff>
                    <xdr:row>0</xdr:row>
                    <xdr:rowOff>38100</xdr:rowOff>
                  </from>
                  <to>
                    <xdr:col>0</xdr:col>
                    <xdr:colOff>514350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9" name="Button 2">
              <controlPr defaultSize="0" print="0" autoFill="0" autoPict="0" macro="[1]!deli">
                <anchor moveWithCells="1" sizeWithCells="1">
                  <from>
                    <xdr:col>0</xdr:col>
                    <xdr:colOff>590550</xdr:colOff>
                    <xdr:row>0</xdr:row>
                    <xdr:rowOff>38100</xdr:rowOff>
                  </from>
                  <to>
                    <xdr:col>2</xdr:col>
                    <xdr:colOff>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Flow chart</vt:lpstr>
      <vt:lpstr>FRONT SHEET</vt:lpstr>
      <vt:lpstr>CE_MASTER_DATA</vt:lpstr>
      <vt:lpstr>variable list</vt:lpstr>
      <vt:lpstr>CE_TAMPLATE</vt:lpstr>
      <vt:lpstr>REF</vt:lpstr>
      <vt:lpstr>P-XX-XXX</vt:lpstr>
      <vt:lpstr>PHASE</vt:lpstr>
      <vt:lpstr>CE_TAMPLATE!Print_Area</vt:lpstr>
      <vt:lpstr>'FRONT SHEET'!Print_Area</vt:lpstr>
      <vt:lpstr>UNITS</vt:lpstr>
      <vt:lpstr>Y_N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2017-05-18T05:11:00Z</dcterms:modified>
</cp:coreProperties>
</file>